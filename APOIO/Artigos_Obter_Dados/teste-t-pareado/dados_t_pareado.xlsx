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dice_artigos" sheetId="2" state="visible" r:id="rId4"/>
    <sheet name="dados_01_barragens" sheetId="3" state="visible" r:id="rId5"/>
    <sheet name="dict_01_barragens" sheetId="4" state="visible" r:id="rId6"/>
    <sheet name="dados_02_metano" sheetId="5" state="visible" r:id="rId7"/>
    <sheet name="dict_02_metan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<sst xmlns="http://schemas.openxmlformats.org/spreadsheetml/2006/main" count="1390" uniqueCount="137">
  <si>
    <t xml:space="preserve">dados_t_pareado.xlsx - Conjuntos de dados pareados (EAPADados)</t>
  </si>
  <si>
    <t xml:space="preserve">Este arquivo reune conjuntos de dados PAREADOS reconstruidos/simulados a partir de artigos cientificos de</t>
  </si>
  <si>
    <t xml:space="preserve">pesca, aquicultura e ecologia aquatica, para apoio didatico ao TESTE t PAREADO no pacote EAPADados.</t>
  </si>
  <si>
    <t xml:space="preserve">PRINCIPIO ADOTADO (importante): so foram incluidos valores absolutos quando o artigo reporta a magnitude de</t>
  </si>
  <si>
    <t xml:space="preserve">cada condicao (media/desvio/faixa). Os valores individuais sao reconstruidos por amostragem log-normal</t>
  </si>
  <si>
    <t xml:space="preserve">calibrada para reproduzir essas magnitudes (nao-negativas, assimetricas a direita) e a correlacao intra-par</t>
  </si>
  <si>
    <t xml:space="preserve">que reproduz o t. NAO correspondem aos dados brutos originais dos autores; cada base tem documentacao (dict_XX)</t>
  </si>
  <si>
    <t xml:space="preserve">com a referencia, a origem dos dados e a validacao estatistica (t/p reportado vs simulado).</t>
  </si>
  <si>
    <t xml:space="preserve">Artigo NAO incluido: 'The impact of aquaculture cyber extension...' (Hendri et al., 2021) reporta apenas a</t>
  </si>
  <si>
    <t xml:space="preserve">DIFERENCA media (sem a media absoluta de cada condicao); como nao ha magnitude absoluta para ancorar, optou-se</t>
  </si>
  <si>
    <t xml:space="preserve">por nao inventar valores antes/depois.</t>
  </si>
  <si>
    <t xml:space="preserve">Uso no R:  t.test(dados$valor_1, dados$valor_2, paired = TRUE)</t>
  </si>
  <si>
    <t xml:space="preserve">Abas: README | indice_artigos | dados_01_barragens + dict_01_barragens | dados_02_metano + dict_02_metano</t>
  </si>
  <si>
    <t xml:space="preserve">A coluna 'diferenca' (= valor_2 - valor_1) e a validacao estatistica sao formulas do Excel.</t>
  </si>
  <si>
    <t xml:space="preserve">artigo_id</t>
  </si>
  <si>
    <t xml:space="preserve">titulo_curto</t>
  </si>
  <si>
    <t xml:space="preserve">ano</t>
  </si>
  <si>
    <t xml:space="preserve">area</t>
  </si>
  <si>
    <t xml:space="preserve">tipo_pareamento</t>
  </si>
  <si>
    <t xml:space="preserve">variavel_principal</t>
  </si>
  <si>
    <t xml:space="preserve">origem_dados</t>
  </si>
  <si>
    <t xml:space="preserve">aba_dados</t>
  </si>
  <si>
    <t xml:space="preserve">aba_dicionario</t>
  </si>
  <si>
    <t xml:space="preserve">status</t>
  </si>
  <si>
    <t xml:space="preserve">observacoes</t>
  </si>
  <si>
    <t xml:space="preserve">art_01</t>
  </si>
  <si>
    <t xml:space="preserve">Barragens de baixa altura x peixes (China)</t>
  </si>
  <si>
    <t xml:space="preserve">2022</t>
  </si>
  <si>
    <t xml:space="preserve">Ecologia aquatica / pesca continental</t>
  </si>
  <si>
    <t xml:space="preserve">represado x livre</t>
  </si>
  <si>
    <t xml:space="preserve">abundancia nativa</t>
  </si>
  <si>
    <t xml:space="preserve">reconstruido_de_tabela</t>
  </si>
  <si>
    <t xml:space="preserve">dados_01_barragens</t>
  </si>
  <si>
    <t xml:space="preserve">dict_01_barragens</t>
  </si>
  <si>
    <t xml:space="preserve">Processado</t>
  </si>
  <si>
    <t xml:space="preserve">Valores ancorados nas magnitudes reportadas.</t>
  </si>
  <si>
    <t xml:space="preserve">art_02</t>
  </si>
  <si>
    <t xml:space="preserve">Ebulicao vs difusao de CH4 em viveiros</t>
  </si>
  <si>
    <t xml:space="preserve">2023</t>
  </si>
  <si>
    <t xml:space="preserve">Aquicultura / ecologia aquatica (gases de efeito estufa)</t>
  </si>
  <si>
    <t xml:space="preserve">centro x margem</t>
  </si>
  <si>
    <t xml:space="preserve">emissao difusiva CH4</t>
  </si>
  <si>
    <t xml:space="preserve">simulado_com_base_no_artigo</t>
  </si>
  <si>
    <t xml:space="preserve">dados_02_metano</t>
  </si>
  <si>
    <t xml:space="preserve">dict_02_metano</t>
  </si>
  <si>
    <t xml:space="preserve">id_par</t>
  </si>
  <si>
    <t xml:space="preserve">unidade_observacional</t>
  </si>
  <si>
    <t xml:space="preserve">grupo</t>
  </si>
  <si>
    <t xml:space="preserve">condicao_1</t>
  </si>
  <si>
    <t xml:space="preserve">valor_1</t>
  </si>
  <si>
    <t xml:space="preserve">condicao_2</t>
  </si>
  <si>
    <t xml:space="preserve">valor_2</t>
  </si>
  <si>
    <t xml:space="preserve">diferenca</t>
  </si>
  <si>
    <t xml:space="preserve">variavel</t>
  </si>
  <si>
    <t xml:space="preserve">unidade</t>
  </si>
  <si>
    <t xml:space="preserve">observacao</t>
  </si>
  <si>
    <t xml:space="preserve">barragem</t>
  </si>
  <si>
    <t xml:space="preserve">impoundment</t>
  </si>
  <si>
    <t xml:space="preserve">free_flowing</t>
  </si>
  <si>
    <t xml:space="preserve">abundancia_nativa</t>
  </si>
  <si>
    <t xml:space="preserve">n_individuos</t>
  </si>
  <si>
    <t xml:space="preserve">riqueza_total</t>
  </si>
  <si>
    <t xml:space="preserve">n_especies</t>
  </si>
  <si>
    <t xml:space="preserve">Campo</t>
  </si>
  <si>
    <t xml:space="preserve">Conteudo</t>
  </si>
  <si>
    <t xml:space="preserve">referencia_abnt</t>
  </si>
  <si>
    <t xml:space="preserve">LI, Q. et al. Role of Impoundments Created by Low-Head Dams in Affecting Fish Assemblages in Subtropical Headwater Streams in China. Frontiers in Ecology and Evolution, v. 10, art. 916873, 2022. DOI: 10.3389/fevo.2022.916873.</t>
  </si>
  <si>
    <t xml:space="preserve">titulo</t>
  </si>
  <si>
    <t xml:space="preserve">Role of Impoundments Created by Low-Head Dams in Affecting Fish Assemblages in Subtropical Headwater Streams in China</t>
  </si>
  <si>
    <t xml:space="preserve">autores</t>
  </si>
  <si>
    <t xml:space="preserve">Li Q, Li X, Fu H, Tan K, Ge Y, Chu L, Zhang C, Yan Y</t>
  </si>
  <si>
    <t xml:space="preserve">periodico</t>
  </si>
  <si>
    <t xml:space="preserve">Frontiers in Ecology and Evolution</t>
  </si>
  <si>
    <t xml:space="preserve">doi</t>
  </si>
  <si>
    <t xml:space="preserve">10.3389/fevo.2022.916873</t>
  </si>
  <si>
    <t xml:space="preserve">link</t>
  </si>
  <si>
    <t xml:space="preserve">https://www.frontiersin.org/articles/10.3389/fevo.2022.916873</t>
  </si>
  <si>
    <t xml:space="preserve">objetivo_estudo</t>
  </si>
  <si>
    <t xml:space="preserve">Avaliar os efeitos de barragens de baixa altura sobre as assembleias de peixes em riachos de cabeceira.</t>
  </si>
  <si>
    <t xml:space="preserve">contexto</t>
  </si>
  <si>
    <t xml:space="preserve">61 barragens em riachos de primeira ordem das Montanhas Wannan (China); cada barragem cria um trecho represado a montante e um trecho livre de referencia.</t>
  </si>
  <si>
    <t xml:space="preserve">metodologia_coleta</t>
  </si>
  <si>
    <t xml:space="preserve">Amostragem de peixes comparando o trecho represado (impoundment) com o trecho livre (free-flowing) de cada barragem.</t>
  </si>
  <si>
    <t xml:space="preserve">delineamento</t>
  </si>
  <si>
    <t xml:space="preserve">Pareamento espacial: represado x livre (mesma barragem).</t>
  </si>
  <si>
    <t xml:space="preserve">unidade_pareada</t>
  </si>
  <si>
    <t xml:space="preserve">barragem (par represado/livre)</t>
  </si>
  <si>
    <t xml:space="preserve">variavel_resposta</t>
  </si>
  <si>
    <t xml:space="preserve">Abundancia de peixes nativos; riqueza total de especies</t>
  </si>
  <si>
    <t xml:space="preserve">condicoes_comparadas</t>
  </si>
  <si>
    <t xml:space="preserve">impoundment x free_flowing</t>
  </si>
  <si>
    <t xml:space="preserve">estatisticas_reportadas</t>
  </si>
  <si>
    <t xml:space="preserve">Tabela 2 (n=61): abundancia nativa Im 31,26+/-28,75 vs Fr 46,15+/-34,41, t=3,89, p&lt;0,001; riqueza total Im 5,26+/-2,51 vs Fr 5,48+/-2,13, t=1,24, p=0,22.</t>
  </si>
  <si>
    <t xml:space="preserve">justificativa_simulacao</t>
  </si>
  <si>
    <t xml:space="preserve">Os dados brutos por barragem nao estao disponiveis; a Tabela 2 reporta media+/-DP e t de cada condicao. Os 61 pares foram reconstruidos por amostragem log-normal calibrada para reproduzir a media e o desvio de cada condicao, com a correlacao intra-par ajustada para reproduzir o t.</t>
  </si>
  <si>
    <t xml:space="preserve">uso_didatico</t>
  </si>
  <si>
    <t xml:space="preserve">Teste t pareado com um contraste significativo (abundancia nativa) e um nao significativo (riqueza total).</t>
  </si>
  <si>
    <t xml:space="preserve">limitacoes</t>
  </si>
  <si>
    <t xml:space="preserve">Os valores individuais sao reconstruidos (nao sao os dados originais). As marginais simuladas aproximam as medias/DP reportadas e os valores sao nao-negativos e assimetricos a direita, como contagens de peixes. A conclusao estatistica do artigo e preservada.</t>
  </si>
  <si>
    <t xml:space="preserve">Magnitude simulada (conferencia)</t>
  </si>
  <si>
    <t xml:space="preserve">impoundment: media 30.9, dp 24.7, faixa 5-110  ||  free_flowing: media 47.5, dp 28.3, faixa 12-115</t>
  </si>
  <si>
    <t xml:space="preserve">impoundment: media 4.9, dp 2.1, faixa 2-11  ||  free_flowing: media 5.2, dp 2.1, faixa 2-10</t>
  </si>
  <si>
    <t xml:space="preserve">Validacao estatistica (Secao 11 da skill)</t>
  </si>
  <si>
    <t xml:space="preserve">t_reportado</t>
  </si>
  <si>
    <t xml:space="preserve">gl_reportado</t>
  </si>
  <si>
    <t xml:space="preserve">p_reportado</t>
  </si>
  <si>
    <t xml:space="preserve">decisao_artigo</t>
  </si>
  <si>
    <t xml:space="preserve">t_simulado</t>
  </si>
  <si>
    <t xml:space="preserve">gl_simulado</t>
  </si>
  <si>
    <t xml:space="preserve">p_simulado</t>
  </si>
  <si>
    <t xml:space="preserve">decisao_simulada</t>
  </si>
  <si>
    <t xml:space="preserve">conclusao_compativel</t>
  </si>
  <si>
    <t xml:space="preserve">&lt;0.001</t>
  </si>
  <si>
    <t xml:space="preserve">significativo</t>
  </si>
  <si>
    <t xml:space="preserve">0.22</t>
  </si>
  <si>
    <t xml:space="preserve">nao significativo</t>
  </si>
  <si>
    <t xml:space="preserve">viveiro</t>
  </si>
  <si>
    <t xml:space="preserve">centro</t>
  </si>
  <si>
    <t xml:space="preserve">margem</t>
  </si>
  <si>
    <t xml:space="preserve">emissao_difusiva_CH4</t>
  </si>
  <si>
    <t xml:space="preserve">mg CH4 m-2 d-1</t>
  </si>
  <si>
    <t xml:space="preserve">VROOM, R. J. E. et al. Widespread dominance of methane ebullition over diffusion in freshwater aquaculture ponds. Frontiers in Water, v. 5, art. 1256799, 2023. DOI: 10.3389/frwa.2023.1256799.</t>
  </si>
  <si>
    <t xml:space="preserve">Widespread dominance of methane ebullition over diffusion in freshwater aquaculture ponds</t>
  </si>
  <si>
    <t xml:space="preserve">Vroom RJE, Kosten S, Almeida RM, Mendonca R, Muzitano IS, Barbosa I, Nasario J, Oliveira Junior ES, Flecker AS, Barros N</t>
  </si>
  <si>
    <t xml:space="preserve">Frontiers in Water</t>
  </si>
  <si>
    <t xml:space="preserve">10.3389/frwa.2023.1256799</t>
  </si>
  <si>
    <t xml:space="preserve">https://www.frontiersin.org/articles/10.3389/frwa.2023.1256799</t>
  </si>
  <si>
    <t xml:space="preserve">Quantificar e comparar as emissoes de metano (CH4) por ebulicao e por difusao em viveiros de piscicultura.</t>
  </si>
  <si>
    <t xml:space="preserve">48 viveiros de piscicultura de agua doce no Brasil; emissao difusiva de CH4 medida no centro e na margem de cada viveiro.</t>
  </si>
  <si>
    <t xml:space="preserve">Para cada viveiro, mediu-se a emissao difusiva de CH4 no centro e na margem (medias por local).</t>
  </si>
  <si>
    <t xml:space="preserve">Pareamento espacial: centro x margem (mesmo viveiro).</t>
  </si>
  <si>
    <t xml:space="preserve">Emissao difusiva de CH4 (mg CH4 m-2 d-1)</t>
  </si>
  <si>
    <t xml:space="preserve">Difusao (n=48, gl=47): centro mediana 11,4 / media 19; margem mediana 6,1 / media 12; faixa 0,7-86; teste t pareado t=-5,52, p&lt;0,001.</t>
  </si>
  <si>
    <t xml:space="preserve">O artigo reporta medianas, medias e faixa por local, sem os valores brutos por viveiro. Os 48 pares foram simulados por amostragem log-normal ancorada na mediana e na media de cada local, truncada a faixa observada (0,7-86 no centro; 0,7-67 na margem), com correlacao intra-par ajustada para reproduzir o t.</t>
  </si>
  <si>
    <t xml:space="preserve">Teste t pareado espacial (centro vs margem) com efeito significativo.</t>
  </si>
  <si>
    <t xml:space="preserve">Os valores individuais sao simulados. As marginais aproximam mediana/media reportadas, permanecem dentro da faixa observada e sao assimetricas a direita, como fluxos de gas. O truncamento a faixa reduz levemente a media da margem. A conclusao estatistica do artigo e preservada.</t>
  </si>
  <si>
    <t xml:space="preserve">centro: media 17.7, dp 19.1, faixa 1.9-82.7  ||  margem: media 8.7, dp 8.6, faixa 0.9-33.5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</si>
</sst>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B5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F3B5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3B5F"/>
        <bgColor rgb="FF333333"/>
      </patternFill>
    </fill>
    <fill>
      <patternFill patternType="solid">
        <fgColor rgb="FFEAF1F4"/>
        <bgColor rgb="FFFFFFFF"/>
      </patternFill>
    </fill>
    <fill>
      <patternFill patternType="solid">
        <fgColor rgb="FF2E7D8F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AF1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B5F"/>
      <rgbColor rgb="FF2E7D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 t="s">
        <v>12</v>
      </c>
    </row>
    <row r="19" customFormat="false" ht="15" hidden="false" customHeight="false" outlineLevel="0" collapsed="false">
      <c r="A19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7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9" min="8" style="0" width="20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customFormat="false" ht="23.85" hidden="false" customHeight="false" outlineLevel="0" collapsed="false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35</v>
      </c>
    </row>
    <row r="3" customFormat="false" ht="23.85" hidden="false" customHeight="false" outlineLevel="0" collapsed="false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34</v>
      </c>
      <c r="K3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26"/>
    <col collapsed="false" customWidth="true" hidden="false" outlineLevel="0" max="13" min="13" style="0" width="22"/>
  </cols>
  <sheetData>
    <row r="1" customFormat="false" ht="23.85" hidden="false" customHeight="false" outlineLevel="0" collapsed="false">
      <c r="A1" s="3" t="s">
        <v>45</v>
      </c>
      <c r="B1" s="3" t="s">
        <v>14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20</v>
      </c>
      <c r="M1" s="3" t="s">
        <v>55</v>
      </c>
    </row>
    <row r="2" customFormat="false" ht="15" hidden="false" customHeight="false" outlineLevel="0" collapsed="false">
      <c r="A2" s="5" t="n">
        <v>1</v>
      </c>
      <c r="B2" s="5" t="s">
        <v>25</v>
      </c>
      <c r="C2" s="4" t="s">
        <v>56</v>
      </c>
      <c r="D2" s="5"/>
      <c r="E2" s="4" t="s">
        <v>57</v>
      </c>
      <c r="F2" s="5" t="n">
        <v>15</v>
      </c>
      <c r="G2" s="4" t="s">
        <v>58</v>
      </c>
      <c r="H2" s="5" t="n">
        <v>27</v>
      </c>
      <c r="I2" s="5" t="n">
        <f aca="false">H2-F2</f>
        <v>12</v>
      </c>
      <c r="J2" s="4" t="s">
        <v>59</v>
      </c>
      <c r="K2" s="4" t="s">
        <v>60</v>
      </c>
      <c r="L2" s="4" t="s">
        <v>31</v>
      </c>
      <c r="M2" s="4"/>
    </row>
    <row r="3" customFormat="false" ht="15" hidden="false" customHeight="false" outlineLevel="0" collapsed="false">
      <c r="A3" s="5" t="n">
        <v>2</v>
      </c>
      <c r="B3" s="5" t="s">
        <v>25</v>
      </c>
      <c r="C3" s="4" t="s">
        <v>56</v>
      </c>
      <c r="D3" s="5"/>
      <c r="E3" s="4" t="s">
        <v>57</v>
      </c>
      <c r="F3" s="5" t="n">
        <v>7</v>
      </c>
      <c r="G3" s="4" t="s">
        <v>58</v>
      </c>
      <c r="H3" s="5" t="n">
        <v>36</v>
      </c>
      <c r="I3" s="5" t="n">
        <f aca="false">H3-F3</f>
        <v>29</v>
      </c>
      <c r="J3" s="4" t="s">
        <v>59</v>
      </c>
      <c r="K3" s="4" t="s">
        <v>60</v>
      </c>
      <c r="L3" s="4" t="s">
        <v>31</v>
      </c>
      <c r="M3" s="4"/>
    </row>
    <row r="4" customFormat="false" ht="15" hidden="false" customHeight="false" outlineLevel="0" collapsed="false">
      <c r="A4" s="5" t="n">
        <v>3</v>
      </c>
      <c r="B4" s="5" t="s">
        <v>25</v>
      </c>
      <c r="C4" s="4" t="s">
        <v>56</v>
      </c>
      <c r="D4" s="5"/>
      <c r="E4" s="4" t="s">
        <v>57</v>
      </c>
      <c r="F4" s="5" t="n">
        <v>26</v>
      </c>
      <c r="G4" s="4" t="s">
        <v>58</v>
      </c>
      <c r="H4" s="5" t="n">
        <v>59</v>
      </c>
      <c r="I4" s="5" t="n">
        <f aca="false">H4-F4</f>
        <v>33</v>
      </c>
      <c r="J4" s="4" t="s">
        <v>59</v>
      </c>
      <c r="K4" s="4" t="s">
        <v>60</v>
      </c>
      <c r="L4" s="4" t="s">
        <v>31</v>
      </c>
      <c r="M4" s="4"/>
    </row>
    <row r="5" customFormat="false" ht="15" hidden="false" customHeight="false" outlineLevel="0" collapsed="false">
      <c r="A5" s="5" t="n">
        <v>4</v>
      </c>
      <c r="B5" s="5" t="s">
        <v>25</v>
      </c>
      <c r="C5" s="4" t="s">
        <v>56</v>
      </c>
      <c r="D5" s="5"/>
      <c r="E5" s="4" t="s">
        <v>57</v>
      </c>
      <c r="F5" s="5" t="n">
        <v>17</v>
      </c>
      <c r="G5" s="4" t="s">
        <v>58</v>
      </c>
      <c r="H5" s="5" t="n">
        <v>91</v>
      </c>
      <c r="I5" s="5" t="n">
        <f aca="false">H5-F5</f>
        <v>74</v>
      </c>
      <c r="J5" s="4" t="s">
        <v>59</v>
      </c>
      <c r="K5" s="4" t="s">
        <v>60</v>
      </c>
      <c r="L5" s="4" t="s">
        <v>31</v>
      </c>
      <c r="M5" s="4"/>
    </row>
    <row r="6" customFormat="false" ht="15" hidden="false" customHeight="false" outlineLevel="0" collapsed="false">
      <c r="A6" s="5" t="n">
        <v>5</v>
      </c>
      <c r="B6" s="5" t="s">
        <v>25</v>
      </c>
      <c r="C6" s="4" t="s">
        <v>56</v>
      </c>
      <c r="D6" s="5"/>
      <c r="E6" s="4" t="s">
        <v>57</v>
      </c>
      <c r="F6" s="5" t="n">
        <v>37</v>
      </c>
      <c r="G6" s="4" t="s">
        <v>58</v>
      </c>
      <c r="H6" s="5" t="n">
        <v>49</v>
      </c>
      <c r="I6" s="5" t="n">
        <f aca="false">H6-F6</f>
        <v>12</v>
      </c>
      <c r="J6" s="4" t="s">
        <v>59</v>
      </c>
      <c r="K6" s="4" t="s">
        <v>60</v>
      </c>
      <c r="L6" s="4" t="s">
        <v>31</v>
      </c>
      <c r="M6" s="4"/>
    </row>
    <row r="7" customFormat="false" ht="15" hidden="false" customHeight="false" outlineLevel="0" collapsed="false">
      <c r="A7" s="5" t="n">
        <v>6</v>
      </c>
      <c r="B7" s="5" t="s">
        <v>25</v>
      </c>
      <c r="C7" s="4" t="s">
        <v>56</v>
      </c>
      <c r="D7" s="5"/>
      <c r="E7" s="4" t="s">
        <v>57</v>
      </c>
      <c r="F7" s="5" t="n">
        <v>72</v>
      </c>
      <c r="G7" s="4" t="s">
        <v>58</v>
      </c>
      <c r="H7" s="5" t="n">
        <v>84</v>
      </c>
      <c r="I7" s="5" t="n">
        <f aca="false">H7-F7</f>
        <v>12</v>
      </c>
      <c r="J7" s="4" t="s">
        <v>59</v>
      </c>
      <c r="K7" s="4" t="s">
        <v>60</v>
      </c>
      <c r="L7" s="4" t="s">
        <v>31</v>
      </c>
      <c r="M7" s="4"/>
    </row>
    <row r="8" customFormat="false" ht="15" hidden="false" customHeight="false" outlineLevel="0" collapsed="false">
      <c r="A8" s="5" t="n">
        <v>7</v>
      </c>
      <c r="B8" s="5" t="s">
        <v>25</v>
      </c>
      <c r="C8" s="4" t="s">
        <v>56</v>
      </c>
      <c r="D8" s="5"/>
      <c r="E8" s="4" t="s">
        <v>57</v>
      </c>
      <c r="F8" s="5" t="n">
        <v>13</v>
      </c>
      <c r="G8" s="4" t="s">
        <v>58</v>
      </c>
      <c r="H8" s="5" t="n">
        <v>56</v>
      </c>
      <c r="I8" s="5" t="n">
        <f aca="false">H8-F8</f>
        <v>43</v>
      </c>
      <c r="J8" s="4" t="s">
        <v>59</v>
      </c>
      <c r="K8" s="4" t="s">
        <v>60</v>
      </c>
      <c r="L8" s="4" t="s">
        <v>31</v>
      </c>
      <c r="M8" s="4"/>
    </row>
    <row r="9" customFormat="false" ht="15" hidden="false" customHeight="false" outlineLevel="0" collapsed="false">
      <c r="A9" s="5" t="n">
        <v>8</v>
      </c>
      <c r="B9" s="5" t="s">
        <v>25</v>
      </c>
      <c r="C9" s="4" t="s">
        <v>56</v>
      </c>
      <c r="D9" s="5"/>
      <c r="E9" s="4" t="s">
        <v>57</v>
      </c>
      <c r="F9" s="5" t="n">
        <v>14</v>
      </c>
      <c r="G9" s="4" t="s">
        <v>58</v>
      </c>
      <c r="H9" s="5" t="n">
        <v>75</v>
      </c>
      <c r="I9" s="5" t="n">
        <f aca="false">H9-F9</f>
        <v>61</v>
      </c>
      <c r="J9" s="4" t="s">
        <v>59</v>
      </c>
      <c r="K9" s="4" t="s">
        <v>60</v>
      </c>
      <c r="L9" s="4" t="s">
        <v>31</v>
      </c>
      <c r="M9" s="4"/>
    </row>
    <row r="10" customFormat="false" ht="15" hidden="false" customHeight="false" outlineLevel="0" collapsed="false">
      <c r="A10" s="5" t="n">
        <v>9</v>
      </c>
      <c r="B10" s="5" t="s">
        <v>25</v>
      </c>
      <c r="C10" s="4" t="s">
        <v>56</v>
      </c>
      <c r="D10" s="5"/>
      <c r="E10" s="4" t="s">
        <v>57</v>
      </c>
      <c r="F10" s="5" t="n">
        <v>15</v>
      </c>
      <c r="G10" s="4" t="s">
        <v>58</v>
      </c>
      <c r="H10" s="5" t="n">
        <v>43</v>
      </c>
      <c r="I10" s="5" t="n">
        <f aca="false">H10-F10</f>
        <v>28</v>
      </c>
      <c r="J10" s="4" t="s">
        <v>59</v>
      </c>
      <c r="K10" s="4" t="s">
        <v>60</v>
      </c>
      <c r="L10" s="4" t="s">
        <v>31</v>
      </c>
      <c r="M10" s="4"/>
    </row>
    <row r="11" customFormat="false" ht="15" hidden="false" customHeight="false" outlineLevel="0" collapsed="false">
      <c r="A11" s="5" t="n">
        <v>10</v>
      </c>
      <c r="B11" s="5" t="s">
        <v>25</v>
      </c>
      <c r="C11" s="4" t="s">
        <v>56</v>
      </c>
      <c r="D11" s="5"/>
      <c r="E11" s="4" t="s">
        <v>57</v>
      </c>
      <c r="F11" s="5" t="n">
        <v>13</v>
      </c>
      <c r="G11" s="4" t="s">
        <v>58</v>
      </c>
      <c r="H11" s="5" t="n">
        <v>41</v>
      </c>
      <c r="I11" s="5" t="n">
        <f aca="false">H11-F11</f>
        <v>28</v>
      </c>
      <c r="J11" s="4" t="s">
        <v>59</v>
      </c>
      <c r="K11" s="4" t="s">
        <v>60</v>
      </c>
      <c r="L11" s="4" t="s">
        <v>31</v>
      </c>
      <c r="M11" s="4"/>
    </row>
    <row r="12" customFormat="false" ht="15" hidden="false" customHeight="false" outlineLevel="0" collapsed="false">
      <c r="A12" s="5" t="n">
        <v>11</v>
      </c>
      <c r="B12" s="5" t="s">
        <v>25</v>
      </c>
      <c r="C12" s="4" t="s">
        <v>56</v>
      </c>
      <c r="D12" s="5"/>
      <c r="E12" s="4" t="s">
        <v>57</v>
      </c>
      <c r="F12" s="5" t="n">
        <v>70</v>
      </c>
      <c r="G12" s="4" t="s">
        <v>58</v>
      </c>
      <c r="H12" s="5" t="n">
        <v>100</v>
      </c>
      <c r="I12" s="5" t="n">
        <f aca="false">H12-F12</f>
        <v>30</v>
      </c>
      <c r="J12" s="4" t="s">
        <v>59</v>
      </c>
      <c r="K12" s="4" t="s">
        <v>60</v>
      </c>
      <c r="L12" s="4" t="s">
        <v>31</v>
      </c>
      <c r="M12" s="4"/>
    </row>
    <row r="13" customFormat="false" ht="15" hidden="false" customHeight="false" outlineLevel="0" collapsed="false">
      <c r="A13" s="5" t="n">
        <v>12</v>
      </c>
      <c r="B13" s="5" t="s">
        <v>25</v>
      </c>
      <c r="C13" s="4" t="s">
        <v>56</v>
      </c>
      <c r="D13" s="5"/>
      <c r="E13" s="4" t="s">
        <v>57</v>
      </c>
      <c r="F13" s="5" t="n">
        <v>14</v>
      </c>
      <c r="G13" s="4" t="s">
        <v>58</v>
      </c>
      <c r="H13" s="5" t="n">
        <v>14</v>
      </c>
      <c r="I13" s="5" t="n">
        <f aca="false">H13-F13</f>
        <v>0</v>
      </c>
      <c r="J13" s="4" t="s">
        <v>59</v>
      </c>
      <c r="K13" s="4" t="s">
        <v>60</v>
      </c>
      <c r="L13" s="4" t="s">
        <v>31</v>
      </c>
      <c r="M13" s="4"/>
    </row>
    <row r="14" customFormat="false" ht="15" hidden="false" customHeight="false" outlineLevel="0" collapsed="false">
      <c r="A14" s="5" t="n">
        <v>13</v>
      </c>
      <c r="B14" s="5" t="s">
        <v>25</v>
      </c>
      <c r="C14" s="4" t="s">
        <v>56</v>
      </c>
      <c r="D14" s="5"/>
      <c r="E14" s="4" t="s">
        <v>57</v>
      </c>
      <c r="F14" s="5" t="n">
        <v>41</v>
      </c>
      <c r="G14" s="4" t="s">
        <v>58</v>
      </c>
      <c r="H14" s="5" t="n">
        <v>27</v>
      </c>
      <c r="I14" s="5" t="n">
        <f aca="false">H14-F14</f>
        <v>-14</v>
      </c>
      <c r="J14" s="4" t="s">
        <v>59</v>
      </c>
      <c r="K14" s="4" t="s">
        <v>60</v>
      </c>
      <c r="L14" s="4" t="s">
        <v>31</v>
      </c>
      <c r="M14" s="4"/>
    </row>
    <row r="15" customFormat="false" ht="15" hidden="false" customHeight="false" outlineLevel="0" collapsed="false">
      <c r="A15" s="5" t="n">
        <v>14</v>
      </c>
      <c r="B15" s="5" t="s">
        <v>25</v>
      </c>
      <c r="C15" s="4" t="s">
        <v>56</v>
      </c>
      <c r="D15" s="5"/>
      <c r="E15" s="4" t="s">
        <v>57</v>
      </c>
      <c r="F15" s="5" t="n">
        <v>13</v>
      </c>
      <c r="G15" s="4" t="s">
        <v>58</v>
      </c>
      <c r="H15" s="5" t="n">
        <v>52</v>
      </c>
      <c r="I15" s="5" t="n">
        <f aca="false">H15-F15</f>
        <v>39</v>
      </c>
      <c r="J15" s="4" t="s">
        <v>59</v>
      </c>
      <c r="K15" s="4" t="s">
        <v>60</v>
      </c>
      <c r="L15" s="4" t="s">
        <v>31</v>
      </c>
      <c r="M15" s="4"/>
    </row>
    <row r="16" customFormat="false" ht="15" hidden="false" customHeight="false" outlineLevel="0" collapsed="false">
      <c r="A16" s="5" t="n">
        <v>15</v>
      </c>
      <c r="B16" s="5" t="s">
        <v>25</v>
      </c>
      <c r="C16" s="4" t="s">
        <v>56</v>
      </c>
      <c r="D16" s="5"/>
      <c r="E16" s="4" t="s">
        <v>57</v>
      </c>
      <c r="F16" s="5" t="n">
        <v>9</v>
      </c>
      <c r="G16" s="4" t="s">
        <v>58</v>
      </c>
      <c r="H16" s="5" t="n">
        <v>52</v>
      </c>
      <c r="I16" s="5" t="n">
        <f aca="false">H16-F16</f>
        <v>43</v>
      </c>
      <c r="J16" s="4" t="s">
        <v>59</v>
      </c>
      <c r="K16" s="4" t="s">
        <v>60</v>
      </c>
      <c r="L16" s="4" t="s">
        <v>31</v>
      </c>
      <c r="M16" s="4"/>
    </row>
    <row r="17" customFormat="false" ht="15" hidden="false" customHeight="false" outlineLevel="0" collapsed="false">
      <c r="A17" s="5" t="n">
        <v>16</v>
      </c>
      <c r="B17" s="5" t="s">
        <v>25</v>
      </c>
      <c r="C17" s="4" t="s">
        <v>56</v>
      </c>
      <c r="D17" s="5"/>
      <c r="E17" s="4" t="s">
        <v>57</v>
      </c>
      <c r="F17" s="5" t="n">
        <v>55</v>
      </c>
      <c r="G17" s="4" t="s">
        <v>58</v>
      </c>
      <c r="H17" s="5" t="n">
        <v>46</v>
      </c>
      <c r="I17" s="5" t="n">
        <f aca="false">H17-F17</f>
        <v>-9</v>
      </c>
      <c r="J17" s="4" t="s">
        <v>59</v>
      </c>
      <c r="K17" s="4" t="s">
        <v>60</v>
      </c>
      <c r="L17" s="4" t="s">
        <v>31</v>
      </c>
      <c r="M17" s="4"/>
    </row>
    <row r="18" customFormat="false" ht="15" hidden="false" customHeight="false" outlineLevel="0" collapsed="false">
      <c r="A18" s="5" t="n">
        <v>17</v>
      </c>
      <c r="B18" s="5" t="s">
        <v>25</v>
      </c>
      <c r="C18" s="4" t="s">
        <v>56</v>
      </c>
      <c r="D18" s="5"/>
      <c r="E18" s="4" t="s">
        <v>57</v>
      </c>
      <c r="F18" s="5" t="n">
        <v>11</v>
      </c>
      <c r="G18" s="4" t="s">
        <v>58</v>
      </c>
      <c r="H18" s="5" t="n">
        <v>28</v>
      </c>
      <c r="I18" s="5" t="n">
        <f aca="false">H18-F18</f>
        <v>17</v>
      </c>
      <c r="J18" s="4" t="s">
        <v>59</v>
      </c>
      <c r="K18" s="4" t="s">
        <v>60</v>
      </c>
      <c r="L18" s="4" t="s">
        <v>31</v>
      </c>
      <c r="M18" s="4"/>
    </row>
    <row r="19" customFormat="false" ht="15" hidden="false" customHeight="false" outlineLevel="0" collapsed="false">
      <c r="A19" s="5" t="n">
        <v>18</v>
      </c>
      <c r="B19" s="5" t="s">
        <v>25</v>
      </c>
      <c r="C19" s="4" t="s">
        <v>56</v>
      </c>
      <c r="D19" s="5"/>
      <c r="E19" s="4" t="s">
        <v>57</v>
      </c>
      <c r="F19" s="5" t="n">
        <v>77</v>
      </c>
      <c r="G19" s="4" t="s">
        <v>58</v>
      </c>
      <c r="H19" s="5" t="n">
        <v>54</v>
      </c>
      <c r="I19" s="5" t="n">
        <f aca="false">H19-F19</f>
        <v>-23</v>
      </c>
      <c r="J19" s="4" t="s">
        <v>59</v>
      </c>
      <c r="K19" s="4" t="s">
        <v>60</v>
      </c>
      <c r="L19" s="4" t="s">
        <v>31</v>
      </c>
      <c r="M19" s="4"/>
    </row>
    <row r="20" customFormat="false" ht="15" hidden="false" customHeight="false" outlineLevel="0" collapsed="false">
      <c r="A20" s="5" t="n">
        <v>19</v>
      </c>
      <c r="B20" s="5" t="s">
        <v>25</v>
      </c>
      <c r="C20" s="4" t="s">
        <v>56</v>
      </c>
      <c r="D20" s="5"/>
      <c r="E20" s="4" t="s">
        <v>57</v>
      </c>
      <c r="F20" s="5" t="n">
        <v>63</v>
      </c>
      <c r="G20" s="4" t="s">
        <v>58</v>
      </c>
      <c r="H20" s="5" t="n">
        <v>48</v>
      </c>
      <c r="I20" s="5" t="n">
        <f aca="false">H20-F20</f>
        <v>-15</v>
      </c>
      <c r="J20" s="4" t="s">
        <v>59</v>
      </c>
      <c r="K20" s="4" t="s">
        <v>60</v>
      </c>
      <c r="L20" s="4" t="s">
        <v>31</v>
      </c>
      <c r="M20" s="4"/>
    </row>
    <row r="21" customFormat="false" ht="15" hidden="false" customHeight="false" outlineLevel="0" collapsed="false">
      <c r="A21" s="5" t="n">
        <v>20</v>
      </c>
      <c r="B21" s="5" t="s">
        <v>25</v>
      </c>
      <c r="C21" s="4" t="s">
        <v>56</v>
      </c>
      <c r="D21" s="5"/>
      <c r="E21" s="4" t="s">
        <v>57</v>
      </c>
      <c r="F21" s="5" t="n">
        <v>26</v>
      </c>
      <c r="G21" s="4" t="s">
        <v>58</v>
      </c>
      <c r="H21" s="5" t="n">
        <v>44</v>
      </c>
      <c r="I21" s="5" t="n">
        <f aca="false">H21-F21</f>
        <v>18</v>
      </c>
      <c r="J21" s="4" t="s">
        <v>59</v>
      </c>
      <c r="K21" s="4" t="s">
        <v>60</v>
      </c>
      <c r="L21" s="4" t="s">
        <v>31</v>
      </c>
      <c r="M21" s="4"/>
    </row>
    <row r="22" customFormat="false" ht="15" hidden="false" customHeight="false" outlineLevel="0" collapsed="false">
      <c r="A22" s="5" t="n">
        <v>21</v>
      </c>
      <c r="B22" s="5" t="s">
        <v>25</v>
      </c>
      <c r="C22" s="4" t="s">
        <v>56</v>
      </c>
      <c r="D22" s="5"/>
      <c r="E22" s="4" t="s">
        <v>57</v>
      </c>
      <c r="F22" s="5" t="n">
        <v>26</v>
      </c>
      <c r="G22" s="4" t="s">
        <v>58</v>
      </c>
      <c r="H22" s="5" t="n">
        <v>47</v>
      </c>
      <c r="I22" s="5" t="n">
        <f aca="false">H22-F22</f>
        <v>21</v>
      </c>
      <c r="J22" s="4" t="s">
        <v>59</v>
      </c>
      <c r="K22" s="4" t="s">
        <v>60</v>
      </c>
      <c r="L22" s="4" t="s">
        <v>31</v>
      </c>
      <c r="M22" s="4"/>
    </row>
    <row r="23" customFormat="false" ht="15" hidden="false" customHeight="false" outlineLevel="0" collapsed="false">
      <c r="A23" s="5" t="n">
        <v>22</v>
      </c>
      <c r="B23" s="5" t="s">
        <v>25</v>
      </c>
      <c r="C23" s="4" t="s">
        <v>56</v>
      </c>
      <c r="D23" s="5"/>
      <c r="E23" s="4" t="s">
        <v>57</v>
      </c>
      <c r="F23" s="5" t="n">
        <v>46</v>
      </c>
      <c r="G23" s="4" t="s">
        <v>58</v>
      </c>
      <c r="H23" s="5" t="n">
        <v>95</v>
      </c>
      <c r="I23" s="5" t="n">
        <f aca="false">H23-F23</f>
        <v>49</v>
      </c>
      <c r="J23" s="4" t="s">
        <v>59</v>
      </c>
      <c r="K23" s="4" t="s">
        <v>60</v>
      </c>
      <c r="L23" s="4" t="s">
        <v>31</v>
      </c>
      <c r="M23" s="4"/>
    </row>
    <row r="24" customFormat="false" ht="15" hidden="false" customHeight="false" outlineLevel="0" collapsed="false">
      <c r="A24" s="5" t="n">
        <v>23</v>
      </c>
      <c r="B24" s="5" t="s">
        <v>25</v>
      </c>
      <c r="C24" s="4" t="s">
        <v>56</v>
      </c>
      <c r="D24" s="5"/>
      <c r="E24" s="4" t="s">
        <v>57</v>
      </c>
      <c r="F24" s="5" t="n">
        <v>21</v>
      </c>
      <c r="G24" s="4" t="s">
        <v>58</v>
      </c>
      <c r="H24" s="5" t="n">
        <v>20</v>
      </c>
      <c r="I24" s="5" t="n">
        <f aca="false">H24-F24</f>
        <v>-1</v>
      </c>
      <c r="J24" s="4" t="s">
        <v>59</v>
      </c>
      <c r="K24" s="4" t="s">
        <v>60</v>
      </c>
      <c r="L24" s="4" t="s">
        <v>31</v>
      </c>
      <c r="M24" s="4"/>
    </row>
    <row r="25" customFormat="false" ht="15" hidden="false" customHeight="false" outlineLevel="0" collapsed="false">
      <c r="A25" s="5" t="n">
        <v>24</v>
      </c>
      <c r="B25" s="5" t="s">
        <v>25</v>
      </c>
      <c r="C25" s="4" t="s">
        <v>56</v>
      </c>
      <c r="D25" s="5"/>
      <c r="E25" s="4" t="s">
        <v>57</v>
      </c>
      <c r="F25" s="5" t="n">
        <v>14</v>
      </c>
      <c r="G25" s="4" t="s">
        <v>58</v>
      </c>
      <c r="H25" s="5" t="n">
        <v>18</v>
      </c>
      <c r="I25" s="5" t="n">
        <f aca="false">H25-F25</f>
        <v>4</v>
      </c>
      <c r="J25" s="4" t="s">
        <v>59</v>
      </c>
      <c r="K25" s="4" t="s">
        <v>60</v>
      </c>
      <c r="L25" s="4" t="s">
        <v>31</v>
      </c>
      <c r="M25" s="4"/>
    </row>
    <row r="26" customFormat="false" ht="15" hidden="false" customHeight="false" outlineLevel="0" collapsed="false">
      <c r="A26" s="5" t="n">
        <v>25</v>
      </c>
      <c r="B26" s="5" t="s">
        <v>25</v>
      </c>
      <c r="C26" s="4" t="s">
        <v>56</v>
      </c>
      <c r="D26" s="5"/>
      <c r="E26" s="4" t="s">
        <v>57</v>
      </c>
      <c r="F26" s="5" t="n">
        <v>5</v>
      </c>
      <c r="G26" s="4" t="s">
        <v>58</v>
      </c>
      <c r="H26" s="5" t="n">
        <v>27</v>
      </c>
      <c r="I26" s="5" t="n">
        <f aca="false">H26-F26</f>
        <v>22</v>
      </c>
      <c r="J26" s="4" t="s">
        <v>59</v>
      </c>
      <c r="K26" s="4" t="s">
        <v>60</v>
      </c>
      <c r="L26" s="4" t="s">
        <v>31</v>
      </c>
      <c r="M26" s="4"/>
    </row>
    <row r="27" customFormat="false" ht="15" hidden="false" customHeight="false" outlineLevel="0" collapsed="false">
      <c r="A27" s="5" t="n">
        <v>26</v>
      </c>
      <c r="B27" s="5" t="s">
        <v>25</v>
      </c>
      <c r="C27" s="4" t="s">
        <v>56</v>
      </c>
      <c r="D27" s="5"/>
      <c r="E27" s="4" t="s">
        <v>57</v>
      </c>
      <c r="F27" s="5" t="n">
        <v>13</v>
      </c>
      <c r="G27" s="4" t="s">
        <v>58</v>
      </c>
      <c r="H27" s="5" t="n">
        <v>110</v>
      </c>
      <c r="I27" s="5" t="n">
        <f aca="false">H27-F27</f>
        <v>97</v>
      </c>
      <c r="J27" s="4" t="s">
        <v>59</v>
      </c>
      <c r="K27" s="4" t="s">
        <v>60</v>
      </c>
      <c r="L27" s="4" t="s">
        <v>31</v>
      </c>
      <c r="M27" s="4"/>
    </row>
    <row r="28" customFormat="false" ht="15" hidden="false" customHeight="false" outlineLevel="0" collapsed="false">
      <c r="A28" s="5" t="n">
        <v>27</v>
      </c>
      <c r="B28" s="5" t="s">
        <v>25</v>
      </c>
      <c r="C28" s="4" t="s">
        <v>56</v>
      </c>
      <c r="D28" s="5"/>
      <c r="E28" s="4" t="s">
        <v>57</v>
      </c>
      <c r="F28" s="5" t="n">
        <v>15</v>
      </c>
      <c r="G28" s="4" t="s">
        <v>58</v>
      </c>
      <c r="H28" s="5" t="n">
        <v>14</v>
      </c>
      <c r="I28" s="5" t="n">
        <f aca="false">H28-F28</f>
        <v>-1</v>
      </c>
      <c r="J28" s="4" t="s">
        <v>59</v>
      </c>
      <c r="K28" s="4" t="s">
        <v>60</v>
      </c>
      <c r="L28" s="4" t="s">
        <v>31</v>
      </c>
      <c r="M28" s="4"/>
    </row>
    <row r="29" customFormat="false" ht="15" hidden="false" customHeight="false" outlineLevel="0" collapsed="false">
      <c r="A29" s="5" t="n">
        <v>28</v>
      </c>
      <c r="B29" s="5" t="s">
        <v>25</v>
      </c>
      <c r="C29" s="4" t="s">
        <v>56</v>
      </c>
      <c r="D29" s="5"/>
      <c r="E29" s="4" t="s">
        <v>57</v>
      </c>
      <c r="F29" s="5" t="n">
        <v>32</v>
      </c>
      <c r="G29" s="4" t="s">
        <v>58</v>
      </c>
      <c r="H29" s="5" t="n">
        <v>40</v>
      </c>
      <c r="I29" s="5" t="n">
        <f aca="false">H29-F29</f>
        <v>8</v>
      </c>
      <c r="J29" s="4" t="s">
        <v>59</v>
      </c>
      <c r="K29" s="4" t="s">
        <v>60</v>
      </c>
      <c r="L29" s="4" t="s">
        <v>31</v>
      </c>
      <c r="M29" s="4"/>
    </row>
    <row r="30" customFormat="false" ht="15" hidden="false" customHeight="false" outlineLevel="0" collapsed="false">
      <c r="A30" s="5" t="n">
        <v>29</v>
      </c>
      <c r="B30" s="5" t="s">
        <v>25</v>
      </c>
      <c r="C30" s="4" t="s">
        <v>56</v>
      </c>
      <c r="D30" s="5"/>
      <c r="E30" s="4" t="s">
        <v>57</v>
      </c>
      <c r="F30" s="5" t="n">
        <v>47</v>
      </c>
      <c r="G30" s="4" t="s">
        <v>58</v>
      </c>
      <c r="H30" s="5" t="n">
        <v>48</v>
      </c>
      <c r="I30" s="5" t="n">
        <f aca="false">H30-F30</f>
        <v>1</v>
      </c>
      <c r="J30" s="4" t="s">
        <v>59</v>
      </c>
      <c r="K30" s="4" t="s">
        <v>60</v>
      </c>
      <c r="L30" s="4" t="s">
        <v>31</v>
      </c>
      <c r="M30" s="4"/>
    </row>
    <row r="31" customFormat="false" ht="15" hidden="false" customHeight="false" outlineLevel="0" collapsed="false">
      <c r="A31" s="5" t="n">
        <v>30</v>
      </c>
      <c r="B31" s="5" t="s">
        <v>25</v>
      </c>
      <c r="C31" s="4" t="s">
        <v>56</v>
      </c>
      <c r="D31" s="5"/>
      <c r="E31" s="4" t="s">
        <v>57</v>
      </c>
      <c r="F31" s="5" t="n">
        <v>104</v>
      </c>
      <c r="G31" s="4" t="s">
        <v>58</v>
      </c>
      <c r="H31" s="5" t="n">
        <v>32</v>
      </c>
      <c r="I31" s="5" t="n">
        <f aca="false">H31-F31</f>
        <v>-72</v>
      </c>
      <c r="J31" s="4" t="s">
        <v>59</v>
      </c>
      <c r="K31" s="4" t="s">
        <v>60</v>
      </c>
      <c r="L31" s="4" t="s">
        <v>31</v>
      </c>
      <c r="M31" s="4"/>
    </row>
    <row r="32" customFormat="false" ht="15" hidden="false" customHeight="false" outlineLevel="0" collapsed="false">
      <c r="A32" s="5" t="n">
        <v>31</v>
      </c>
      <c r="B32" s="5" t="s">
        <v>25</v>
      </c>
      <c r="C32" s="4" t="s">
        <v>56</v>
      </c>
      <c r="D32" s="5"/>
      <c r="E32" s="4" t="s">
        <v>57</v>
      </c>
      <c r="F32" s="5" t="n">
        <v>28</v>
      </c>
      <c r="G32" s="4" t="s">
        <v>58</v>
      </c>
      <c r="H32" s="5" t="n">
        <v>29</v>
      </c>
      <c r="I32" s="5" t="n">
        <f aca="false">H32-F32</f>
        <v>1</v>
      </c>
      <c r="J32" s="4" t="s">
        <v>59</v>
      </c>
      <c r="K32" s="4" t="s">
        <v>60</v>
      </c>
      <c r="L32" s="4" t="s">
        <v>31</v>
      </c>
      <c r="M32" s="4"/>
    </row>
    <row r="33" customFormat="false" ht="15" hidden="false" customHeight="false" outlineLevel="0" collapsed="false">
      <c r="A33" s="5" t="n">
        <v>32</v>
      </c>
      <c r="B33" s="5" t="s">
        <v>25</v>
      </c>
      <c r="C33" s="4" t="s">
        <v>56</v>
      </c>
      <c r="D33" s="5"/>
      <c r="E33" s="4" t="s">
        <v>57</v>
      </c>
      <c r="F33" s="5" t="n">
        <v>16</v>
      </c>
      <c r="G33" s="4" t="s">
        <v>58</v>
      </c>
      <c r="H33" s="5" t="n">
        <v>12</v>
      </c>
      <c r="I33" s="5" t="n">
        <f aca="false">H33-F33</f>
        <v>-4</v>
      </c>
      <c r="J33" s="4" t="s">
        <v>59</v>
      </c>
      <c r="K33" s="4" t="s">
        <v>60</v>
      </c>
      <c r="L33" s="4" t="s">
        <v>31</v>
      </c>
      <c r="M33" s="4"/>
    </row>
    <row r="34" customFormat="false" ht="15" hidden="false" customHeight="false" outlineLevel="0" collapsed="false">
      <c r="A34" s="5" t="n">
        <v>33</v>
      </c>
      <c r="B34" s="5" t="s">
        <v>25</v>
      </c>
      <c r="C34" s="4" t="s">
        <v>56</v>
      </c>
      <c r="D34" s="5"/>
      <c r="E34" s="4" t="s">
        <v>57</v>
      </c>
      <c r="F34" s="5" t="n">
        <v>38</v>
      </c>
      <c r="G34" s="4" t="s">
        <v>58</v>
      </c>
      <c r="H34" s="5" t="n">
        <v>14</v>
      </c>
      <c r="I34" s="5" t="n">
        <f aca="false">H34-F34</f>
        <v>-24</v>
      </c>
      <c r="J34" s="4" t="s">
        <v>59</v>
      </c>
      <c r="K34" s="4" t="s">
        <v>60</v>
      </c>
      <c r="L34" s="4" t="s">
        <v>31</v>
      </c>
      <c r="M34" s="4"/>
    </row>
    <row r="35" customFormat="false" ht="15" hidden="false" customHeight="false" outlineLevel="0" collapsed="false">
      <c r="A35" s="5" t="n">
        <v>34</v>
      </c>
      <c r="B35" s="5" t="s">
        <v>25</v>
      </c>
      <c r="C35" s="4" t="s">
        <v>56</v>
      </c>
      <c r="D35" s="5"/>
      <c r="E35" s="4" t="s">
        <v>57</v>
      </c>
      <c r="F35" s="5" t="n">
        <v>31</v>
      </c>
      <c r="G35" s="4" t="s">
        <v>58</v>
      </c>
      <c r="H35" s="5" t="n">
        <v>54</v>
      </c>
      <c r="I35" s="5" t="n">
        <f aca="false">H35-F35</f>
        <v>23</v>
      </c>
      <c r="J35" s="4" t="s">
        <v>59</v>
      </c>
      <c r="K35" s="4" t="s">
        <v>60</v>
      </c>
      <c r="L35" s="4" t="s">
        <v>31</v>
      </c>
      <c r="M35" s="4"/>
    </row>
    <row r="36" customFormat="false" ht="15" hidden="false" customHeight="false" outlineLevel="0" collapsed="false">
      <c r="A36" s="5" t="n">
        <v>35</v>
      </c>
      <c r="B36" s="5" t="s">
        <v>25</v>
      </c>
      <c r="C36" s="4" t="s">
        <v>56</v>
      </c>
      <c r="D36" s="5"/>
      <c r="E36" s="4" t="s">
        <v>57</v>
      </c>
      <c r="F36" s="5" t="n">
        <v>32</v>
      </c>
      <c r="G36" s="4" t="s">
        <v>58</v>
      </c>
      <c r="H36" s="5" t="n">
        <v>14</v>
      </c>
      <c r="I36" s="5" t="n">
        <f aca="false">H36-F36</f>
        <v>-18</v>
      </c>
      <c r="J36" s="4" t="s">
        <v>59</v>
      </c>
      <c r="K36" s="4" t="s">
        <v>60</v>
      </c>
      <c r="L36" s="4" t="s">
        <v>31</v>
      </c>
      <c r="M36" s="4"/>
    </row>
    <row r="37" customFormat="false" ht="15" hidden="false" customHeight="false" outlineLevel="0" collapsed="false">
      <c r="A37" s="5" t="n">
        <v>36</v>
      </c>
      <c r="B37" s="5" t="s">
        <v>25</v>
      </c>
      <c r="C37" s="4" t="s">
        <v>56</v>
      </c>
      <c r="D37" s="5"/>
      <c r="E37" s="4" t="s">
        <v>57</v>
      </c>
      <c r="F37" s="5" t="n">
        <v>45</v>
      </c>
      <c r="G37" s="4" t="s">
        <v>58</v>
      </c>
      <c r="H37" s="5" t="n">
        <v>27</v>
      </c>
      <c r="I37" s="5" t="n">
        <f aca="false">H37-F37</f>
        <v>-18</v>
      </c>
      <c r="J37" s="4" t="s">
        <v>59</v>
      </c>
      <c r="K37" s="4" t="s">
        <v>60</v>
      </c>
      <c r="L37" s="4" t="s">
        <v>31</v>
      </c>
      <c r="M37" s="4"/>
    </row>
    <row r="38" customFormat="false" ht="15" hidden="false" customHeight="false" outlineLevel="0" collapsed="false">
      <c r="A38" s="5" t="n">
        <v>37</v>
      </c>
      <c r="B38" s="5" t="s">
        <v>25</v>
      </c>
      <c r="C38" s="4" t="s">
        <v>56</v>
      </c>
      <c r="D38" s="5"/>
      <c r="E38" s="4" t="s">
        <v>57</v>
      </c>
      <c r="F38" s="5" t="n">
        <v>32</v>
      </c>
      <c r="G38" s="4" t="s">
        <v>58</v>
      </c>
      <c r="H38" s="5" t="n">
        <v>32</v>
      </c>
      <c r="I38" s="5" t="n">
        <f aca="false">H38-F38</f>
        <v>0</v>
      </c>
      <c r="J38" s="4" t="s">
        <v>59</v>
      </c>
      <c r="K38" s="4" t="s">
        <v>60</v>
      </c>
      <c r="L38" s="4" t="s">
        <v>31</v>
      </c>
      <c r="M38" s="4"/>
    </row>
    <row r="39" customFormat="false" ht="15" hidden="false" customHeight="false" outlineLevel="0" collapsed="false">
      <c r="A39" s="5" t="n">
        <v>38</v>
      </c>
      <c r="B39" s="5" t="s">
        <v>25</v>
      </c>
      <c r="C39" s="4" t="s">
        <v>56</v>
      </c>
      <c r="D39" s="5"/>
      <c r="E39" s="4" t="s">
        <v>57</v>
      </c>
      <c r="F39" s="5" t="n">
        <v>110</v>
      </c>
      <c r="G39" s="4" t="s">
        <v>58</v>
      </c>
      <c r="H39" s="5" t="n">
        <v>36</v>
      </c>
      <c r="I39" s="5" t="n">
        <f aca="false">H39-F39</f>
        <v>-74</v>
      </c>
      <c r="J39" s="4" t="s">
        <v>59</v>
      </c>
      <c r="K39" s="4" t="s">
        <v>60</v>
      </c>
      <c r="L39" s="4" t="s">
        <v>31</v>
      </c>
      <c r="M39" s="4"/>
    </row>
    <row r="40" customFormat="false" ht="15" hidden="false" customHeight="false" outlineLevel="0" collapsed="false">
      <c r="A40" s="5" t="n">
        <v>39</v>
      </c>
      <c r="B40" s="5" t="s">
        <v>25</v>
      </c>
      <c r="C40" s="4" t="s">
        <v>56</v>
      </c>
      <c r="D40" s="5"/>
      <c r="E40" s="4" t="s">
        <v>57</v>
      </c>
      <c r="F40" s="5" t="n">
        <v>20</v>
      </c>
      <c r="G40" s="4" t="s">
        <v>58</v>
      </c>
      <c r="H40" s="5" t="n">
        <v>44</v>
      </c>
      <c r="I40" s="5" t="n">
        <f aca="false">H40-F40</f>
        <v>24</v>
      </c>
      <c r="J40" s="4" t="s">
        <v>59</v>
      </c>
      <c r="K40" s="4" t="s">
        <v>60</v>
      </c>
      <c r="L40" s="4" t="s">
        <v>31</v>
      </c>
      <c r="M40" s="4"/>
    </row>
    <row r="41" customFormat="false" ht="15" hidden="false" customHeight="false" outlineLevel="0" collapsed="false">
      <c r="A41" s="5" t="n">
        <v>40</v>
      </c>
      <c r="B41" s="5" t="s">
        <v>25</v>
      </c>
      <c r="C41" s="4" t="s">
        <v>56</v>
      </c>
      <c r="D41" s="5"/>
      <c r="E41" s="4" t="s">
        <v>57</v>
      </c>
      <c r="F41" s="5" t="n">
        <v>7</v>
      </c>
      <c r="G41" s="4" t="s">
        <v>58</v>
      </c>
      <c r="H41" s="5" t="n">
        <v>22</v>
      </c>
      <c r="I41" s="5" t="n">
        <f aca="false">H41-F41</f>
        <v>15</v>
      </c>
      <c r="J41" s="4" t="s">
        <v>59</v>
      </c>
      <c r="K41" s="4" t="s">
        <v>60</v>
      </c>
      <c r="L41" s="4" t="s">
        <v>31</v>
      </c>
      <c r="M41" s="4"/>
    </row>
    <row r="42" customFormat="false" ht="15" hidden="false" customHeight="false" outlineLevel="0" collapsed="false">
      <c r="A42" s="5" t="n">
        <v>41</v>
      </c>
      <c r="B42" s="5" t="s">
        <v>25</v>
      </c>
      <c r="C42" s="4" t="s">
        <v>56</v>
      </c>
      <c r="D42" s="5"/>
      <c r="E42" s="4" t="s">
        <v>57</v>
      </c>
      <c r="F42" s="5" t="n">
        <v>20</v>
      </c>
      <c r="G42" s="4" t="s">
        <v>58</v>
      </c>
      <c r="H42" s="5" t="n">
        <v>43</v>
      </c>
      <c r="I42" s="5" t="n">
        <f aca="false">H42-F42</f>
        <v>23</v>
      </c>
      <c r="J42" s="4" t="s">
        <v>59</v>
      </c>
      <c r="K42" s="4" t="s">
        <v>60</v>
      </c>
      <c r="L42" s="4" t="s">
        <v>31</v>
      </c>
      <c r="M42" s="4"/>
    </row>
    <row r="43" customFormat="false" ht="15" hidden="false" customHeight="false" outlineLevel="0" collapsed="false">
      <c r="A43" s="5" t="n">
        <v>42</v>
      </c>
      <c r="B43" s="5" t="s">
        <v>25</v>
      </c>
      <c r="C43" s="4" t="s">
        <v>56</v>
      </c>
      <c r="D43" s="5"/>
      <c r="E43" s="4" t="s">
        <v>57</v>
      </c>
      <c r="F43" s="5" t="n">
        <v>18</v>
      </c>
      <c r="G43" s="4" t="s">
        <v>58</v>
      </c>
      <c r="H43" s="5" t="n">
        <v>115</v>
      </c>
      <c r="I43" s="5" t="n">
        <f aca="false">H43-F43</f>
        <v>97</v>
      </c>
      <c r="J43" s="4" t="s">
        <v>59</v>
      </c>
      <c r="K43" s="4" t="s">
        <v>60</v>
      </c>
      <c r="L43" s="4" t="s">
        <v>31</v>
      </c>
      <c r="M43" s="4"/>
    </row>
    <row r="44" customFormat="false" ht="15" hidden="false" customHeight="false" outlineLevel="0" collapsed="false">
      <c r="A44" s="5" t="n">
        <v>43</v>
      </c>
      <c r="B44" s="5" t="s">
        <v>25</v>
      </c>
      <c r="C44" s="4" t="s">
        <v>56</v>
      </c>
      <c r="D44" s="5"/>
      <c r="E44" s="4" t="s">
        <v>57</v>
      </c>
      <c r="F44" s="5" t="n">
        <v>109</v>
      </c>
      <c r="G44" s="4" t="s">
        <v>58</v>
      </c>
      <c r="H44" s="5" t="n">
        <v>115</v>
      </c>
      <c r="I44" s="5" t="n">
        <f aca="false">H44-F44</f>
        <v>6</v>
      </c>
      <c r="J44" s="4" t="s">
        <v>59</v>
      </c>
      <c r="K44" s="4" t="s">
        <v>60</v>
      </c>
      <c r="L44" s="4" t="s">
        <v>31</v>
      </c>
      <c r="M44" s="4"/>
    </row>
    <row r="45" customFormat="false" ht="15" hidden="false" customHeight="false" outlineLevel="0" collapsed="false">
      <c r="A45" s="5" t="n">
        <v>44</v>
      </c>
      <c r="B45" s="5" t="s">
        <v>25</v>
      </c>
      <c r="C45" s="4" t="s">
        <v>56</v>
      </c>
      <c r="D45" s="5"/>
      <c r="E45" s="4" t="s">
        <v>57</v>
      </c>
      <c r="F45" s="5" t="n">
        <v>23</v>
      </c>
      <c r="G45" s="4" t="s">
        <v>58</v>
      </c>
      <c r="H45" s="5" t="n">
        <v>57</v>
      </c>
      <c r="I45" s="5" t="n">
        <f aca="false">H45-F45</f>
        <v>34</v>
      </c>
      <c r="J45" s="4" t="s">
        <v>59</v>
      </c>
      <c r="K45" s="4" t="s">
        <v>60</v>
      </c>
      <c r="L45" s="4" t="s">
        <v>31</v>
      </c>
      <c r="M45" s="4"/>
    </row>
    <row r="46" customFormat="false" ht="15" hidden="false" customHeight="false" outlineLevel="0" collapsed="false">
      <c r="A46" s="5" t="n">
        <v>45</v>
      </c>
      <c r="B46" s="5" t="s">
        <v>25</v>
      </c>
      <c r="C46" s="4" t="s">
        <v>56</v>
      </c>
      <c r="D46" s="5"/>
      <c r="E46" s="4" t="s">
        <v>57</v>
      </c>
      <c r="F46" s="5" t="n">
        <v>40</v>
      </c>
      <c r="G46" s="4" t="s">
        <v>58</v>
      </c>
      <c r="H46" s="5" t="n">
        <v>30</v>
      </c>
      <c r="I46" s="5" t="n">
        <f aca="false">H46-F46</f>
        <v>-10</v>
      </c>
      <c r="J46" s="4" t="s">
        <v>59</v>
      </c>
      <c r="K46" s="4" t="s">
        <v>60</v>
      </c>
      <c r="L46" s="4" t="s">
        <v>31</v>
      </c>
      <c r="M46" s="4"/>
    </row>
    <row r="47" customFormat="false" ht="15" hidden="false" customHeight="false" outlineLevel="0" collapsed="false">
      <c r="A47" s="5" t="n">
        <v>46</v>
      </c>
      <c r="B47" s="5" t="s">
        <v>25</v>
      </c>
      <c r="C47" s="4" t="s">
        <v>56</v>
      </c>
      <c r="D47" s="5"/>
      <c r="E47" s="4" t="s">
        <v>57</v>
      </c>
      <c r="F47" s="5" t="n">
        <v>59</v>
      </c>
      <c r="G47" s="4" t="s">
        <v>58</v>
      </c>
      <c r="H47" s="5" t="n">
        <v>76</v>
      </c>
      <c r="I47" s="5" t="n">
        <f aca="false">H47-F47</f>
        <v>17</v>
      </c>
      <c r="J47" s="4" t="s">
        <v>59</v>
      </c>
      <c r="K47" s="4" t="s">
        <v>60</v>
      </c>
      <c r="L47" s="4" t="s">
        <v>31</v>
      </c>
      <c r="M47" s="4"/>
    </row>
    <row r="48" customFormat="false" ht="15" hidden="false" customHeight="false" outlineLevel="0" collapsed="false">
      <c r="A48" s="5" t="n">
        <v>47</v>
      </c>
      <c r="B48" s="5" t="s">
        <v>25</v>
      </c>
      <c r="C48" s="4" t="s">
        <v>56</v>
      </c>
      <c r="D48" s="5"/>
      <c r="E48" s="4" t="s">
        <v>57</v>
      </c>
      <c r="F48" s="5" t="n">
        <v>25</v>
      </c>
      <c r="G48" s="4" t="s">
        <v>58</v>
      </c>
      <c r="H48" s="5" t="n">
        <v>35</v>
      </c>
      <c r="I48" s="5" t="n">
        <f aca="false">H48-F48</f>
        <v>10</v>
      </c>
      <c r="J48" s="4" t="s">
        <v>59</v>
      </c>
      <c r="K48" s="4" t="s">
        <v>60</v>
      </c>
      <c r="L48" s="4" t="s">
        <v>31</v>
      </c>
      <c r="M48" s="4"/>
    </row>
    <row r="49" customFormat="false" ht="15" hidden="false" customHeight="false" outlineLevel="0" collapsed="false">
      <c r="A49" s="5" t="n">
        <v>48</v>
      </c>
      <c r="B49" s="5" t="s">
        <v>25</v>
      </c>
      <c r="C49" s="4" t="s">
        <v>56</v>
      </c>
      <c r="D49" s="5"/>
      <c r="E49" s="4" t="s">
        <v>57</v>
      </c>
      <c r="F49" s="5" t="n">
        <v>8</v>
      </c>
      <c r="G49" s="4" t="s">
        <v>58</v>
      </c>
      <c r="H49" s="5" t="n">
        <v>12</v>
      </c>
      <c r="I49" s="5" t="n">
        <f aca="false">H49-F49</f>
        <v>4</v>
      </c>
      <c r="J49" s="4" t="s">
        <v>59</v>
      </c>
      <c r="K49" s="4" t="s">
        <v>60</v>
      </c>
      <c r="L49" s="4" t="s">
        <v>31</v>
      </c>
      <c r="M49" s="4"/>
    </row>
    <row r="50" customFormat="false" ht="15" hidden="false" customHeight="false" outlineLevel="0" collapsed="false">
      <c r="A50" s="5" t="n">
        <v>49</v>
      </c>
      <c r="B50" s="5" t="s">
        <v>25</v>
      </c>
      <c r="C50" s="4" t="s">
        <v>56</v>
      </c>
      <c r="D50" s="5"/>
      <c r="E50" s="4" t="s">
        <v>57</v>
      </c>
      <c r="F50" s="5" t="n">
        <v>9</v>
      </c>
      <c r="G50" s="4" t="s">
        <v>58</v>
      </c>
      <c r="H50" s="5" t="n">
        <v>38</v>
      </c>
      <c r="I50" s="5" t="n">
        <f aca="false">H50-F50</f>
        <v>29</v>
      </c>
      <c r="J50" s="4" t="s">
        <v>59</v>
      </c>
      <c r="K50" s="4" t="s">
        <v>60</v>
      </c>
      <c r="L50" s="4" t="s">
        <v>31</v>
      </c>
      <c r="M50" s="4"/>
    </row>
    <row r="51" customFormat="false" ht="15" hidden="false" customHeight="false" outlineLevel="0" collapsed="false">
      <c r="A51" s="5" t="n">
        <v>50</v>
      </c>
      <c r="B51" s="5" t="s">
        <v>25</v>
      </c>
      <c r="C51" s="4" t="s">
        <v>56</v>
      </c>
      <c r="D51" s="5"/>
      <c r="E51" s="4" t="s">
        <v>57</v>
      </c>
      <c r="F51" s="5" t="n">
        <v>28</v>
      </c>
      <c r="G51" s="4" t="s">
        <v>58</v>
      </c>
      <c r="H51" s="5" t="n">
        <v>25</v>
      </c>
      <c r="I51" s="5" t="n">
        <f aca="false">H51-F51</f>
        <v>-3</v>
      </c>
      <c r="J51" s="4" t="s">
        <v>59</v>
      </c>
      <c r="K51" s="4" t="s">
        <v>60</v>
      </c>
      <c r="L51" s="4" t="s">
        <v>31</v>
      </c>
      <c r="M51" s="4"/>
    </row>
    <row r="52" customFormat="false" ht="15" hidden="false" customHeight="false" outlineLevel="0" collapsed="false">
      <c r="A52" s="5" t="n">
        <v>51</v>
      </c>
      <c r="B52" s="5" t="s">
        <v>25</v>
      </c>
      <c r="C52" s="4" t="s">
        <v>56</v>
      </c>
      <c r="D52" s="5"/>
      <c r="E52" s="4" t="s">
        <v>57</v>
      </c>
      <c r="F52" s="5" t="n">
        <v>19</v>
      </c>
      <c r="G52" s="4" t="s">
        <v>58</v>
      </c>
      <c r="H52" s="5" t="n">
        <v>91</v>
      </c>
      <c r="I52" s="5" t="n">
        <f aca="false">H52-F52</f>
        <v>72</v>
      </c>
      <c r="J52" s="4" t="s">
        <v>59</v>
      </c>
      <c r="K52" s="4" t="s">
        <v>60</v>
      </c>
      <c r="L52" s="4" t="s">
        <v>31</v>
      </c>
      <c r="M52" s="4"/>
    </row>
    <row r="53" customFormat="false" ht="15" hidden="false" customHeight="false" outlineLevel="0" collapsed="false">
      <c r="A53" s="5" t="n">
        <v>52</v>
      </c>
      <c r="B53" s="5" t="s">
        <v>25</v>
      </c>
      <c r="C53" s="4" t="s">
        <v>56</v>
      </c>
      <c r="D53" s="5"/>
      <c r="E53" s="4" t="s">
        <v>57</v>
      </c>
      <c r="F53" s="5" t="n">
        <v>9</v>
      </c>
      <c r="G53" s="4" t="s">
        <v>58</v>
      </c>
      <c r="H53" s="5" t="n">
        <v>24</v>
      </c>
      <c r="I53" s="5" t="n">
        <f aca="false">H53-F53</f>
        <v>15</v>
      </c>
      <c r="J53" s="4" t="s">
        <v>59</v>
      </c>
      <c r="K53" s="4" t="s">
        <v>60</v>
      </c>
      <c r="L53" s="4" t="s">
        <v>31</v>
      </c>
      <c r="M53" s="4"/>
    </row>
    <row r="54" customFormat="false" ht="15" hidden="false" customHeight="false" outlineLevel="0" collapsed="false">
      <c r="A54" s="5" t="n">
        <v>53</v>
      </c>
      <c r="B54" s="5" t="s">
        <v>25</v>
      </c>
      <c r="C54" s="4" t="s">
        <v>56</v>
      </c>
      <c r="D54" s="5"/>
      <c r="E54" s="4" t="s">
        <v>57</v>
      </c>
      <c r="F54" s="5" t="n">
        <v>9</v>
      </c>
      <c r="G54" s="4" t="s">
        <v>58</v>
      </c>
      <c r="H54" s="5" t="n">
        <v>113</v>
      </c>
      <c r="I54" s="5" t="n">
        <f aca="false">H54-F54</f>
        <v>104</v>
      </c>
      <c r="J54" s="4" t="s">
        <v>59</v>
      </c>
      <c r="K54" s="4" t="s">
        <v>60</v>
      </c>
      <c r="L54" s="4" t="s">
        <v>31</v>
      </c>
      <c r="M54" s="4"/>
    </row>
    <row r="55" customFormat="false" ht="15" hidden="false" customHeight="false" outlineLevel="0" collapsed="false">
      <c r="A55" s="5" t="n">
        <v>54</v>
      </c>
      <c r="B55" s="5" t="s">
        <v>25</v>
      </c>
      <c r="C55" s="4" t="s">
        <v>56</v>
      </c>
      <c r="D55" s="5"/>
      <c r="E55" s="4" t="s">
        <v>57</v>
      </c>
      <c r="F55" s="5" t="n">
        <v>17</v>
      </c>
      <c r="G55" s="4" t="s">
        <v>58</v>
      </c>
      <c r="H55" s="5" t="n">
        <v>90</v>
      </c>
      <c r="I55" s="5" t="n">
        <f aca="false">H55-F55</f>
        <v>73</v>
      </c>
      <c r="J55" s="4" t="s">
        <v>59</v>
      </c>
      <c r="K55" s="4" t="s">
        <v>60</v>
      </c>
      <c r="L55" s="4" t="s">
        <v>31</v>
      </c>
      <c r="M55" s="4"/>
    </row>
    <row r="56" customFormat="false" ht="15" hidden="false" customHeight="false" outlineLevel="0" collapsed="false">
      <c r="A56" s="5" t="n">
        <v>55</v>
      </c>
      <c r="B56" s="5" t="s">
        <v>25</v>
      </c>
      <c r="C56" s="4" t="s">
        <v>56</v>
      </c>
      <c r="D56" s="5"/>
      <c r="E56" s="4" t="s">
        <v>57</v>
      </c>
      <c r="F56" s="5" t="n">
        <v>43</v>
      </c>
      <c r="G56" s="4" t="s">
        <v>58</v>
      </c>
      <c r="H56" s="5" t="n">
        <v>28</v>
      </c>
      <c r="I56" s="5" t="n">
        <f aca="false">H56-F56</f>
        <v>-15</v>
      </c>
      <c r="J56" s="4" t="s">
        <v>59</v>
      </c>
      <c r="K56" s="4" t="s">
        <v>60</v>
      </c>
      <c r="L56" s="4" t="s">
        <v>31</v>
      </c>
      <c r="M56" s="4"/>
    </row>
    <row r="57" customFormat="false" ht="15" hidden="false" customHeight="false" outlineLevel="0" collapsed="false">
      <c r="A57" s="5" t="n">
        <v>56</v>
      </c>
      <c r="B57" s="5" t="s">
        <v>25</v>
      </c>
      <c r="C57" s="4" t="s">
        <v>56</v>
      </c>
      <c r="D57" s="5"/>
      <c r="E57" s="4" t="s">
        <v>57</v>
      </c>
      <c r="F57" s="5" t="n">
        <v>39</v>
      </c>
      <c r="G57" s="4" t="s">
        <v>58</v>
      </c>
      <c r="H57" s="5" t="n">
        <v>48</v>
      </c>
      <c r="I57" s="5" t="n">
        <f aca="false">H57-F57</f>
        <v>9</v>
      </c>
      <c r="J57" s="4" t="s">
        <v>59</v>
      </c>
      <c r="K57" s="4" t="s">
        <v>60</v>
      </c>
      <c r="L57" s="4" t="s">
        <v>31</v>
      </c>
      <c r="M57" s="4"/>
    </row>
    <row r="58" customFormat="false" ht="15" hidden="false" customHeight="false" outlineLevel="0" collapsed="false">
      <c r="A58" s="5" t="n">
        <v>57</v>
      </c>
      <c r="B58" s="5" t="s">
        <v>25</v>
      </c>
      <c r="C58" s="4" t="s">
        <v>56</v>
      </c>
      <c r="D58" s="5"/>
      <c r="E58" s="4" t="s">
        <v>57</v>
      </c>
      <c r="F58" s="5" t="n">
        <v>35</v>
      </c>
      <c r="G58" s="4" t="s">
        <v>58</v>
      </c>
      <c r="H58" s="5" t="n">
        <v>47</v>
      </c>
      <c r="I58" s="5" t="n">
        <f aca="false">H58-F58</f>
        <v>12</v>
      </c>
      <c r="J58" s="4" t="s">
        <v>59</v>
      </c>
      <c r="K58" s="4" t="s">
        <v>60</v>
      </c>
      <c r="L58" s="4" t="s">
        <v>31</v>
      </c>
      <c r="M58" s="4"/>
    </row>
    <row r="59" customFormat="false" ht="15" hidden="false" customHeight="false" outlineLevel="0" collapsed="false">
      <c r="A59" s="5" t="n">
        <v>58</v>
      </c>
      <c r="B59" s="5" t="s">
        <v>25</v>
      </c>
      <c r="C59" s="4" t="s">
        <v>56</v>
      </c>
      <c r="D59" s="5"/>
      <c r="E59" s="4" t="s">
        <v>57</v>
      </c>
      <c r="F59" s="5" t="n">
        <v>39</v>
      </c>
      <c r="G59" s="4" t="s">
        <v>58</v>
      </c>
      <c r="H59" s="5" t="n">
        <v>62</v>
      </c>
      <c r="I59" s="5" t="n">
        <f aca="false">H59-F59</f>
        <v>23</v>
      </c>
      <c r="J59" s="4" t="s">
        <v>59</v>
      </c>
      <c r="K59" s="4" t="s">
        <v>60</v>
      </c>
      <c r="L59" s="4" t="s">
        <v>31</v>
      </c>
      <c r="M59" s="4"/>
    </row>
    <row r="60" customFormat="false" ht="15" hidden="false" customHeight="false" outlineLevel="0" collapsed="false">
      <c r="A60" s="5" t="n">
        <v>59</v>
      </c>
      <c r="B60" s="5" t="s">
        <v>25</v>
      </c>
      <c r="C60" s="4" t="s">
        <v>56</v>
      </c>
      <c r="D60" s="5"/>
      <c r="E60" s="4" t="s">
        <v>57</v>
      </c>
      <c r="F60" s="5" t="n">
        <v>13</v>
      </c>
      <c r="G60" s="4" t="s">
        <v>58</v>
      </c>
      <c r="H60" s="5" t="n">
        <v>55</v>
      </c>
      <c r="I60" s="5" t="n">
        <f aca="false">H60-F60</f>
        <v>42</v>
      </c>
      <c r="J60" s="4" t="s">
        <v>59</v>
      </c>
      <c r="K60" s="4" t="s">
        <v>60</v>
      </c>
      <c r="L60" s="4" t="s">
        <v>31</v>
      </c>
      <c r="M60" s="4"/>
    </row>
    <row r="61" customFormat="false" ht="15" hidden="false" customHeight="false" outlineLevel="0" collapsed="false">
      <c r="A61" s="5" t="n">
        <v>60</v>
      </c>
      <c r="B61" s="5" t="s">
        <v>25</v>
      </c>
      <c r="C61" s="4" t="s">
        <v>56</v>
      </c>
      <c r="D61" s="5"/>
      <c r="E61" s="4" t="s">
        <v>57</v>
      </c>
      <c r="F61" s="5" t="n">
        <v>13</v>
      </c>
      <c r="G61" s="4" t="s">
        <v>58</v>
      </c>
      <c r="H61" s="5" t="n">
        <v>14</v>
      </c>
      <c r="I61" s="5" t="n">
        <f aca="false">H61-F61</f>
        <v>1</v>
      </c>
      <c r="J61" s="4" t="s">
        <v>59</v>
      </c>
      <c r="K61" s="4" t="s">
        <v>60</v>
      </c>
      <c r="L61" s="4" t="s">
        <v>31</v>
      </c>
      <c r="M61" s="4"/>
    </row>
    <row r="62" customFormat="false" ht="15" hidden="false" customHeight="false" outlineLevel="0" collapsed="false">
      <c r="A62" s="5" t="n">
        <v>61</v>
      </c>
      <c r="B62" s="5" t="s">
        <v>25</v>
      </c>
      <c r="C62" s="4" t="s">
        <v>56</v>
      </c>
      <c r="D62" s="5"/>
      <c r="E62" s="4" t="s">
        <v>57</v>
      </c>
      <c r="F62" s="5" t="n">
        <v>17</v>
      </c>
      <c r="G62" s="4" t="s">
        <v>58</v>
      </c>
      <c r="H62" s="5" t="n">
        <v>20</v>
      </c>
      <c r="I62" s="5" t="n">
        <f aca="false">H62-F62</f>
        <v>3</v>
      </c>
      <c r="J62" s="4" t="s">
        <v>59</v>
      </c>
      <c r="K62" s="4" t="s">
        <v>60</v>
      </c>
      <c r="L62" s="4" t="s">
        <v>31</v>
      </c>
      <c r="M62" s="4"/>
    </row>
    <row r="63" customFormat="false" ht="15" hidden="false" customHeight="false" outlineLevel="0" collapsed="false">
      <c r="A63" s="5" t="n">
        <v>1</v>
      </c>
      <c r="B63" s="5" t="s">
        <v>25</v>
      </c>
      <c r="C63" s="4" t="s">
        <v>56</v>
      </c>
      <c r="D63" s="5"/>
      <c r="E63" s="4" t="s">
        <v>57</v>
      </c>
      <c r="F63" s="5" t="n">
        <v>7</v>
      </c>
      <c r="G63" s="4" t="s">
        <v>58</v>
      </c>
      <c r="H63" s="5" t="n">
        <v>9</v>
      </c>
      <c r="I63" s="5" t="n">
        <f aca="false">H63-F63</f>
        <v>2</v>
      </c>
      <c r="J63" s="4" t="s">
        <v>61</v>
      </c>
      <c r="K63" s="4" t="s">
        <v>62</v>
      </c>
      <c r="L63" s="4" t="s">
        <v>31</v>
      </c>
      <c r="M63" s="4"/>
    </row>
    <row r="64" customFormat="false" ht="15" hidden="false" customHeight="false" outlineLevel="0" collapsed="false">
      <c r="A64" s="5" t="n">
        <v>2</v>
      </c>
      <c r="B64" s="5" t="s">
        <v>25</v>
      </c>
      <c r="C64" s="4" t="s">
        <v>56</v>
      </c>
      <c r="D64" s="5"/>
      <c r="E64" s="4" t="s">
        <v>57</v>
      </c>
      <c r="F64" s="5" t="n">
        <v>7</v>
      </c>
      <c r="G64" s="4" t="s">
        <v>58</v>
      </c>
      <c r="H64" s="5" t="n">
        <v>9</v>
      </c>
      <c r="I64" s="5" t="n">
        <f aca="false">H64-F64</f>
        <v>2</v>
      </c>
      <c r="J64" s="4" t="s">
        <v>61</v>
      </c>
      <c r="K64" s="4" t="s">
        <v>62</v>
      </c>
      <c r="L64" s="4" t="s">
        <v>31</v>
      </c>
      <c r="M64" s="4"/>
    </row>
    <row r="65" customFormat="false" ht="15" hidden="false" customHeight="false" outlineLevel="0" collapsed="false">
      <c r="A65" s="5" t="n">
        <v>3</v>
      </c>
      <c r="B65" s="5" t="s">
        <v>25</v>
      </c>
      <c r="C65" s="4" t="s">
        <v>56</v>
      </c>
      <c r="D65" s="5"/>
      <c r="E65" s="4" t="s">
        <v>57</v>
      </c>
      <c r="F65" s="5" t="n">
        <v>3</v>
      </c>
      <c r="G65" s="4" t="s">
        <v>58</v>
      </c>
      <c r="H65" s="5" t="n">
        <v>4</v>
      </c>
      <c r="I65" s="5" t="n">
        <f aca="false">H65-F65</f>
        <v>1</v>
      </c>
      <c r="J65" s="4" t="s">
        <v>61</v>
      </c>
      <c r="K65" s="4" t="s">
        <v>62</v>
      </c>
      <c r="L65" s="4" t="s">
        <v>31</v>
      </c>
      <c r="M65" s="4"/>
    </row>
    <row r="66" customFormat="false" ht="15" hidden="false" customHeight="false" outlineLevel="0" collapsed="false">
      <c r="A66" s="5" t="n">
        <v>4</v>
      </c>
      <c r="B66" s="5" t="s">
        <v>25</v>
      </c>
      <c r="C66" s="4" t="s">
        <v>56</v>
      </c>
      <c r="D66" s="5"/>
      <c r="E66" s="4" t="s">
        <v>57</v>
      </c>
      <c r="F66" s="5" t="n">
        <v>3</v>
      </c>
      <c r="G66" s="4" t="s">
        <v>58</v>
      </c>
      <c r="H66" s="5" t="n">
        <v>3</v>
      </c>
      <c r="I66" s="5" t="n">
        <f aca="false">H66-F66</f>
        <v>0</v>
      </c>
      <c r="J66" s="4" t="s">
        <v>61</v>
      </c>
      <c r="K66" s="4" t="s">
        <v>62</v>
      </c>
      <c r="L66" s="4" t="s">
        <v>31</v>
      </c>
      <c r="M66" s="4"/>
    </row>
    <row r="67" customFormat="false" ht="15" hidden="false" customHeight="false" outlineLevel="0" collapsed="false">
      <c r="A67" s="5" t="n">
        <v>5</v>
      </c>
      <c r="B67" s="5" t="s">
        <v>25</v>
      </c>
      <c r="C67" s="4" t="s">
        <v>56</v>
      </c>
      <c r="D67" s="5"/>
      <c r="E67" s="4" t="s">
        <v>57</v>
      </c>
      <c r="F67" s="5" t="n">
        <v>8</v>
      </c>
      <c r="G67" s="4" t="s">
        <v>58</v>
      </c>
      <c r="H67" s="5" t="n">
        <v>7</v>
      </c>
      <c r="I67" s="5" t="n">
        <f aca="false">H67-F67</f>
        <v>-1</v>
      </c>
      <c r="J67" s="4" t="s">
        <v>61</v>
      </c>
      <c r="K67" s="4" t="s">
        <v>62</v>
      </c>
      <c r="L67" s="4" t="s">
        <v>31</v>
      </c>
      <c r="M67" s="4"/>
    </row>
    <row r="68" customFormat="false" ht="15" hidden="false" customHeight="false" outlineLevel="0" collapsed="false">
      <c r="A68" s="5" t="n">
        <v>6</v>
      </c>
      <c r="B68" s="5" t="s">
        <v>25</v>
      </c>
      <c r="C68" s="4" t="s">
        <v>56</v>
      </c>
      <c r="D68" s="5"/>
      <c r="E68" s="4" t="s">
        <v>57</v>
      </c>
      <c r="F68" s="5" t="n">
        <v>3</v>
      </c>
      <c r="G68" s="4" t="s">
        <v>58</v>
      </c>
      <c r="H68" s="5" t="n">
        <v>3</v>
      </c>
      <c r="I68" s="5" t="n">
        <f aca="false">H68-F68</f>
        <v>0</v>
      </c>
      <c r="J68" s="4" t="s">
        <v>61</v>
      </c>
      <c r="K68" s="4" t="s">
        <v>62</v>
      </c>
      <c r="L68" s="4" t="s">
        <v>31</v>
      </c>
      <c r="M68" s="4"/>
    </row>
    <row r="69" customFormat="false" ht="15" hidden="false" customHeight="false" outlineLevel="0" collapsed="false">
      <c r="A69" s="5" t="n">
        <v>7</v>
      </c>
      <c r="B69" s="5" t="s">
        <v>25</v>
      </c>
      <c r="C69" s="4" t="s">
        <v>56</v>
      </c>
      <c r="D69" s="5"/>
      <c r="E69" s="4" t="s">
        <v>57</v>
      </c>
      <c r="F69" s="5" t="n">
        <v>8</v>
      </c>
      <c r="G69" s="4" t="s">
        <v>58</v>
      </c>
      <c r="H69" s="5" t="n">
        <v>5</v>
      </c>
      <c r="I69" s="5" t="n">
        <f aca="false">H69-F69</f>
        <v>-3</v>
      </c>
      <c r="J69" s="4" t="s">
        <v>61</v>
      </c>
      <c r="K69" s="4" t="s">
        <v>62</v>
      </c>
      <c r="L69" s="4" t="s">
        <v>31</v>
      </c>
      <c r="M69" s="4"/>
    </row>
    <row r="70" customFormat="false" ht="15" hidden="false" customHeight="false" outlineLevel="0" collapsed="false">
      <c r="A70" s="5" t="n">
        <v>8</v>
      </c>
      <c r="B70" s="5" t="s">
        <v>25</v>
      </c>
      <c r="C70" s="4" t="s">
        <v>56</v>
      </c>
      <c r="D70" s="5"/>
      <c r="E70" s="4" t="s">
        <v>57</v>
      </c>
      <c r="F70" s="5" t="n">
        <v>4</v>
      </c>
      <c r="G70" s="4" t="s">
        <v>58</v>
      </c>
      <c r="H70" s="5" t="n">
        <v>5</v>
      </c>
      <c r="I70" s="5" t="n">
        <f aca="false">H70-F70</f>
        <v>1</v>
      </c>
      <c r="J70" s="4" t="s">
        <v>61</v>
      </c>
      <c r="K70" s="4" t="s">
        <v>62</v>
      </c>
      <c r="L70" s="4" t="s">
        <v>31</v>
      </c>
      <c r="M70" s="4"/>
    </row>
    <row r="71" customFormat="false" ht="15" hidden="false" customHeight="false" outlineLevel="0" collapsed="false">
      <c r="A71" s="5" t="n">
        <v>9</v>
      </c>
      <c r="B71" s="5" t="s">
        <v>25</v>
      </c>
      <c r="C71" s="4" t="s">
        <v>56</v>
      </c>
      <c r="D71" s="5"/>
      <c r="E71" s="4" t="s">
        <v>57</v>
      </c>
      <c r="F71" s="5" t="n">
        <v>8</v>
      </c>
      <c r="G71" s="4" t="s">
        <v>58</v>
      </c>
      <c r="H71" s="5" t="n">
        <v>10</v>
      </c>
      <c r="I71" s="5" t="n">
        <f aca="false">H71-F71</f>
        <v>2</v>
      </c>
      <c r="J71" s="4" t="s">
        <v>61</v>
      </c>
      <c r="K71" s="4" t="s">
        <v>62</v>
      </c>
      <c r="L71" s="4" t="s">
        <v>31</v>
      </c>
      <c r="M71" s="4"/>
    </row>
    <row r="72" customFormat="false" ht="15" hidden="false" customHeight="false" outlineLevel="0" collapsed="false">
      <c r="A72" s="5" t="n">
        <v>10</v>
      </c>
      <c r="B72" s="5" t="s">
        <v>25</v>
      </c>
      <c r="C72" s="4" t="s">
        <v>56</v>
      </c>
      <c r="D72" s="5"/>
      <c r="E72" s="4" t="s">
        <v>57</v>
      </c>
      <c r="F72" s="5" t="n">
        <v>4</v>
      </c>
      <c r="G72" s="4" t="s">
        <v>58</v>
      </c>
      <c r="H72" s="5" t="n">
        <v>3</v>
      </c>
      <c r="I72" s="5" t="n">
        <f aca="false">H72-F72</f>
        <v>-1</v>
      </c>
      <c r="J72" s="4" t="s">
        <v>61</v>
      </c>
      <c r="K72" s="4" t="s">
        <v>62</v>
      </c>
      <c r="L72" s="4" t="s">
        <v>31</v>
      </c>
      <c r="M72" s="4"/>
    </row>
    <row r="73" customFormat="false" ht="15" hidden="false" customHeight="false" outlineLevel="0" collapsed="false">
      <c r="A73" s="5" t="n">
        <v>11</v>
      </c>
      <c r="B73" s="5" t="s">
        <v>25</v>
      </c>
      <c r="C73" s="4" t="s">
        <v>56</v>
      </c>
      <c r="D73" s="5"/>
      <c r="E73" s="4" t="s">
        <v>57</v>
      </c>
      <c r="F73" s="5" t="n">
        <v>3</v>
      </c>
      <c r="G73" s="4" t="s">
        <v>58</v>
      </c>
      <c r="H73" s="5" t="n">
        <v>5</v>
      </c>
      <c r="I73" s="5" t="n">
        <f aca="false">H73-F73</f>
        <v>2</v>
      </c>
      <c r="J73" s="4" t="s">
        <v>61</v>
      </c>
      <c r="K73" s="4" t="s">
        <v>62</v>
      </c>
      <c r="L73" s="4" t="s">
        <v>31</v>
      </c>
      <c r="M73" s="4"/>
    </row>
    <row r="74" customFormat="false" ht="15" hidden="false" customHeight="false" outlineLevel="0" collapsed="false">
      <c r="A74" s="5" t="n">
        <v>12</v>
      </c>
      <c r="B74" s="5" t="s">
        <v>25</v>
      </c>
      <c r="C74" s="4" t="s">
        <v>56</v>
      </c>
      <c r="D74" s="5"/>
      <c r="E74" s="4" t="s">
        <v>57</v>
      </c>
      <c r="F74" s="5" t="n">
        <v>5</v>
      </c>
      <c r="G74" s="4" t="s">
        <v>58</v>
      </c>
      <c r="H74" s="5" t="n">
        <v>8</v>
      </c>
      <c r="I74" s="5" t="n">
        <f aca="false">H74-F74</f>
        <v>3</v>
      </c>
      <c r="J74" s="4" t="s">
        <v>61</v>
      </c>
      <c r="K74" s="4" t="s">
        <v>62</v>
      </c>
      <c r="L74" s="4" t="s">
        <v>31</v>
      </c>
      <c r="M74" s="4"/>
    </row>
    <row r="75" customFormat="false" ht="15" hidden="false" customHeight="false" outlineLevel="0" collapsed="false">
      <c r="A75" s="5" t="n">
        <v>13</v>
      </c>
      <c r="B75" s="5" t="s">
        <v>25</v>
      </c>
      <c r="C75" s="4" t="s">
        <v>56</v>
      </c>
      <c r="D75" s="5"/>
      <c r="E75" s="4" t="s">
        <v>57</v>
      </c>
      <c r="F75" s="5" t="n">
        <v>7</v>
      </c>
      <c r="G75" s="4" t="s">
        <v>58</v>
      </c>
      <c r="H75" s="5" t="n">
        <v>9</v>
      </c>
      <c r="I75" s="5" t="n">
        <f aca="false">H75-F75</f>
        <v>2</v>
      </c>
      <c r="J75" s="4" t="s">
        <v>61</v>
      </c>
      <c r="K75" s="4" t="s">
        <v>62</v>
      </c>
      <c r="L75" s="4" t="s">
        <v>31</v>
      </c>
      <c r="M75" s="4"/>
    </row>
    <row r="76" customFormat="false" ht="15" hidden="false" customHeight="false" outlineLevel="0" collapsed="false">
      <c r="A76" s="5" t="n">
        <v>14</v>
      </c>
      <c r="B76" s="5" t="s">
        <v>25</v>
      </c>
      <c r="C76" s="4" t="s">
        <v>56</v>
      </c>
      <c r="D76" s="5"/>
      <c r="E76" s="4" t="s">
        <v>57</v>
      </c>
      <c r="F76" s="5" t="n">
        <v>3</v>
      </c>
      <c r="G76" s="4" t="s">
        <v>58</v>
      </c>
      <c r="H76" s="5" t="n">
        <v>3</v>
      </c>
      <c r="I76" s="5" t="n">
        <f aca="false">H76-F76</f>
        <v>0</v>
      </c>
      <c r="J76" s="4" t="s">
        <v>61</v>
      </c>
      <c r="K76" s="4" t="s">
        <v>62</v>
      </c>
      <c r="L76" s="4" t="s">
        <v>31</v>
      </c>
      <c r="M76" s="4"/>
    </row>
    <row r="77" customFormat="false" ht="15" hidden="false" customHeight="false" outlineLevel="0" collapsed="false">
      <c r="A77" s="5" t="n">
        <v>15</v>
      </c>
      <c r="B77" s="5" t="s">
        <v>25</v>
      </c>
      <c r="C77" s="4" t="s">
        <v>56</v>
      </c>
      <c r="D77" s="5"/>
      <c r="E77" s="4" t="s">
        <v>57</v>
      </c>
      <c r="F77" s="5" t="n">
        <v>5</v>
      </c>
      <c r="G77" s="4" t="s">
        <v>58</v>
      </c>
      <c r="H77" s="5" t="n">
        <v>6</v>
      </c>
      <c r="I77" s="5" t="n">
        <f aca="false">H77-F77</f>
        <v>1</v>
      </c>
      <c r="J77" s="4" t="s">
        <v>61</v>
      </c>
      <c r="K77" s="4" t="s">
        <v>62</v>
      </c>
      <c r="L77" s="4" t="s">
        <v>31</v>
      </c>
      <c r="M77" s="4"/>
    </row>
    <row r="78" customFormat="false" ht="15" hidden="false" customHeight="false" outlineLevel="0" collapsed="false">
      <c r="A78" s="5" t="n">
        <v>16</v>
      </c>
      <c r="B78" s="5" t="s">
        <v>25</v>
      </c>
      <c r="C78" s="4" t="s">
        <v>56</v>
      </c>
      <c r="D78" s="5"/>
      <c r="E78" s="4" t="s">
        <v>57</v>
      </c>
      <c r="F78" s="5" t="n">
        <v>3</v>
      </c>
      <c r="G78" s="4" t="s">
        <v>58</v>
      </c>
      <c r="H78" s="5" t="n">
        <v>6</v>
      </c>
      <c r="I78" s="5" t="n">
        <f aca="false">H78-F78</f>
        <v>3</v>
      </c>
      <c r="J78" s="4" t="s">
        <v>61</v>
      </c>
      <c r="K78" s="4" t="s">
        <v>62</v>
      </c>
      <c r="L78" s="4" t="s">
        <v>31</v>
      </c>
      <c r="M78" s="4"/>
    </row>
    <row r="79" customFormat="false" ht="15" hidden="false" customHeight="false" outlineLevel="0" collapsed="false">
      <c r="A79" s="5" t="n">
        <v>17</v>
      </c>
      <c r="B79" s="5" t="s">
        <v>25</v>
      </c>
      <c r="C79" s="4" t="s">
        <v>56</v>
      </c>
      <c r="D79" s="5"/>
      <c r="E79" s="4" t="s">
        <v>57</v>
      </c>
      <c r="F79" s="5" t="n">
        <v>2</v>
      </c>
      <c r="G79" s="4" t="s">
        <v>58</v>
      </c>
      <c r="H79" s="5" t="n">
        <v>3</v>
      </c>
      <c r="I79" s="5" t="n">
        <f aca="false">H79-F79</f>
        <v>1</v>
      </c>
      <c r="J79" s="4" t="s">
        <v>61</v>
      </c>
      <c r="K79" s="4" t="s">
        <v>62</v>
      </c>
      <c r="L79" s="4" t="s">
        <v>31</v>
      </c>
      <c r="M79" s="4"/>
    </row>
    <row r="80" customFormat="false" ht="15" hidden="false" customHeight="false" outlineLevel="0" collapsed="false">
      <c r="A80" s="5" t="n">
        <v>18</v>
      </c>
      <c r="B80" s="5" t="s">
        <v>25</v>
      </c>
      <c r="C80" s="4" t="s">
        <v>56</v>
      </c>
      <c r="D80" s="5"/>
      <c r="E80" s="4" t="s">
        <v>57</v>
      </c>
      <c r="F80" s="5" t="n">
        <v>3</v>
      </c>
      <c r="G80" s="4" t="s">
        <v>58</v>
      </c>
      <c r="H80" s="5" t="n">
        <v>5</v>
      </c>
      <c r="I80" s="5" t="n">
        <f aca="false">H80-F80</f>
        <v>2</v>
      </c>
      <c r="J80" s="4" t="s">
        <v>61</v>
      </c>
      <c r="K80" s="4" t="s">
        <v>62</v>
      </c>
      <c r="L80" s="4" t="s">
        <v>31</v>
      </c>
      <c r="M80" s="4"/>
    </row>
    <row r="81" customFormat="false" ht="15" hidden="false" customHeight="false" outlineLevel="0" collapsed="false">
      <c r="A81" s="5" t="n">
        <v>19</v>
      </c>
      <c r="B81" s="5" t="s">
        <v>25</v>
      </c>
      <c r="C81" s="4" t="s">
        <v>56</v>
      </c>
      <c r="D81" s="5"/>
      <c r="E81" s="4" t="s">
        <v>57</v>
      </c>
      <c r="F81" s="5" t="n">
        <v>6</v>
      </c>
      <c r="G81" s="4" t="s">
        <v>58</v>
      </c>
      <c r="H81" s="5" t="n">
        <v>5</v>
      </c>
      <c r="I81" s="5" t="n">
        <f aca="false">H81-F81</f>
        <v>-1</v>
      </c>
      <c r="J81" s="4" t="s">
        <v>61</v>
      </c>
      <c r="K81" s="4" t="s">
        <v>62</v>
      </c>
      <c r="L81" s="4" t="s">
        <v>31</v>
      </c>
      <c r="M81" s="4"/>
    </row>
    <row r="82" customFormat="false" ht="15" hidden="false" customHeight="false" outlineLevel="0" collapsed="false">
      <c r="A82" s="5" t="n">
        <v>20</v>
      </c>
      <c r="B82" s="5" t="s">
        <v>25</v>
      </c>
      <c r="C82" s="4" t="s">
        <v>56</v>
      </c>
      <c r="D82" s="5"/>
      <c r="E82" s="4" t="s">
        <v>57</v>
      </c>
      <c r="F82" s="5" t="n">
        <v>6</v>
      </c>
      <c r="G82" s="4" t="s">
        <v>58</v>
      </c>
      <c r="H82" s="5" t="n">
        <v>8</v>
      </c>
      <c r="I82" s="5" t="n">
        <f aca="false">H82-F82</f>
        <v>2</v>
      </c>
      <c r="J82" s="4" t="s">
        <v>61</v>
      </c>
      <c r="K82" s="4" t="s">
        <v>62</v>
      </c>
      <c r="L82" s="4" t="s">
        <v>31</v>
      </c>
      <c r="M82" s="4"/>
    </row>
    <row r="83" customFormat="false" ht="15" hidden="false" customHeight="false" outlineLevel="0" collapsed="false">
      <c r="A83" s="5" t="n">
        <v>21</v>
      </c>
      <c r="B83" s="5" t="s">
        <v>25</v>
      </c>
      <c r="C83" s="4" t="s">
        <v>56</v>
      </c>
      <c r="D83" s="5"/>
      <c r="E83" s="4" t="s">
        <v>57</v>
      </c>
      <c r="F83" s="5" t="n">
        <v>3</v>
      </c>
      <c r="G83" s="4" t="s">
        <v>58</v>
      </c>
      <c r="H83" s="5" t="n">
        <v>3</v>
      </c>
      <c r="I83" s="5" t="n">
        <f aca="false">H83-F83</f>
        <v>0</v>
      </c>
      <c r="J83" s="4" t="s">
        <v>61</v>
      </c>
      <c r="K83" s="4" t="s">
        <v>62</v>
      </c>
      <c r="L83" s="4" t="s">
        <v>31</v>
      </c>
      <c r="M83" s="4"/>
    </row>
    <row r="84" customFormat="false" ht="15" hidden="false" customHeight="false" outlineLevel="0" collapsed="false">
      <c r="A84" s="5" t="n">
        <v>22</v>
      </c>
      <c r="B84" s="5" t="s">
        <v>25</v>
      </c>
      <c r="C84" s="4" t="s">
        <v>56</v>
      </c>
      <c r="D84" s="5"/>
      <c r="E84" s="4" t="s">
        <v>57</v>
      </c>
      <c r="F84" s="5" t="n">
        <v>3</v>
      </c>
      <c r="G84" s="4" t="s">
        <v>58</v>
      </c>
      <c r="H84" s="5" t="n">
        <v>4</v>
      </c>
      <c r="I84" s="5" t="n">
        <f aca="false">H84-F84</f>
        <v>1</v>
      </c>
      <c r="J84" s="4" t="s">
        <v>61</v>
      </c>
      <c r="K84" s="4" t="s">
        <v>62</v>
      </c>
      <c r="L84" s="4" t="s">
        <v>31</v>
      </c>
      <c r="M84" s="4"/>
    </row>
    <row r="85" customFormat="false" ht="15" hidden="false" customHeight="false" outlineLevel="0" collapsed="false">
      <c r="A85" s="5" t="n">
        <v>23</v>
      </c>
      <c r="B85" s="5" t="s">
        <v>25</v>
      </c>
      <c r="C85" s="4" t="s">
        <v>56</v>
      </c>
      <c r="D85" s="5"/>
      <c r="E85" s="4" t="s">
        <v>57</v>
      </c>
      <c r="F85" s="5" t="n">
        <v>3</v>
      </c>
      <c r="G85" s="4" t="s">
        <v>58</v>
      </c>
      <c r="H85" s="5" t="n">
        <v>2</v>
      </c>
      <c r="I85" s="5" t="n">
        <f aca="false">H85-F85</f>
        <v>-1</v>
      </c>
      <c r="J85" s="4" t="s">
        <v>61</v>
      </c>
      <c r="K85" s="4" t="s">
        <v>62</v>
      </c>
      <c r="L85" s="4" t="s">
        <v>31</v>
      </c>
      <c r="M85" s="4"/>
    </row>
    <row r="86" customFormat="false" ht="15" hidden="false" customHeight="false" outlineLevel="0" collapsed="false">
      <c r="A86" s="5" t="n">
        <v>24</v>
      </c>
      <c r="B86" s="5" t="s">
        <v>25</v>
      </c>
      <c r="C86" s="4" t="s">
        <v>56</v>
      </c>
      <c r="D86" s="5"/>
      <c r="E86" s="4" t="s">
        <v>57</v>
      </c>
      <c r="F86" s="5" t="n">
        <v>6</v>
      </c>
      <c r="G86" s="4" t="s">
        <v>58</v>
      </c>
      <c r="H86" s="5" t="n">
        <v>4</v>
      </c>
      <c r="I86" s="5" t="n">
        <f aca="false">H86-F86</f>
        <v>-2</v>
      </c>
      <c r="J86" s="4" t="s">
        <v>61</v>
      </c>
      <c r="K86" s="4" t="s">
        <v>62</v>
      </c>
      <c r="L86" s="4" t="s">
        <v>31</v>
      </c>
      <c r="M86" s="4"/>
    </row>
    <row r="87" customFormat="false" ht="15" hidden="false" customHeight="false" outlineLevel="0" collapsed="false">
      <c r="A87" s="5" t="n">
        <v>25</v>
      </c>
      <c r="B87" s="5" t="s">
        <v>25</v>
      </c>
      <c r="C87" s="4" t="s">
        <v>56</v>
      </c>
      <c r="D87" s="5"/>
      <c r="E87" s="4" t="s">
        <v>57</v>
      </c>
      <c r="F87" s="5" t="n">
        <v>2</v>
      </c>
      <c r="G87" s="4" t="s">
        <v>58</v>
      </c>
      <c r="H87" s="5" t="n">
        <v>3</v>
      </c>
      <c r="I87" s="5" t="n">
        <f aca="false">H87-F87</f>
        <v>1</v>
      </c>
      <c r="J87" s="4" t="s">
        <v>61</v>
      </c>
      <c r="K87" s="4" t="s">
        <v>62</v>
      </c>
      <c r="L87" s="4" t="s">
        <v>31</v>
      </c>
      <c r="M87" s="4"/>
    </row>
    <row r="88" customFormat="false" ht="15" hidden="false" customHeight="false" outlineLevel="0" collapsed="false">
      <c r="A88" s="5" t="n">
        <v>26</v>
      </c>
      <c r="B88" s="5" t="s">
        <v>25</v>
      </c>
      <c r="C88" s="4" t="s">
        <v>56</v>
      </c>
      <c r="D88" s="5"/>
      <c r="E88" s="4" t="s">
        <v>57</v>
      </c>
      <c r="F88" s="5" t="n">
        <v>3</v>
      </c>
      <c r="G88" s="4" t="s">
        <v>58</v>
      </c>
      <c r="H88" s="5" t="n">
        <v>4</v>
      </c>
      <c r="I88" s="5" t="n">
        <f aca="false">H88-F88</f>
        <v>1</v>
      </c>
      <c r="J88" s="4" t="s">
        <v>61</v>
      </c>
      <c r="K88" s="4" t="s">
        <v>62</v>
      </c>
      <c r="L88" s="4" t="s">
        <v>31</v>
      </c>
      <c r="M88" s="4"/>
    </row>
    <row r="89" customFormat="false" ht="15" hidden="false" customHeight="false" outlineLevel="0" collapsed="false">
      <c r="A89" s="5" t="n">
        <v>27</v>
      </c>
      <c r="B89" s="5" t="s">
        <v>25</v>
      </c>
      <c r="C89" s="4" t="s">
        <v>56</v>
      </c>
      <c r="D89" s="5"/>
      <c r="E89" s="4" t="s">
        <v>57</v>
      </c>
      <c r="F89" s="5" t="n">
        <v>8</v>
      </c>
      <c r="G89" s="4" t="s">
        <v>58</v>
      </c>
      <c r="H89" s="5" t="n">
        <v>5</v>
      </c>
      <c r="I89" s="5" t="n">
        <f aca="false">H89-F89</f>
        <v>-3</v>
      </c>
      <c r="J89" s="4" t="s">
        <v>61</v>
      </c>
      <c r="K89" s="4" t="s">
        <v>62</v>
      </c>
      <c r="L89" s="4" t="s">
        <v>31</v>
      </c>
      <c r="M89" s="4"/>
    </row>
    <row r="90" customFormat="false" ht="15" hidden="false" customHeight="false" outlineLevel="0" collapsed="false">
      <c r="A90" s="5" t="n">
        <v>28</v>
      </c>
      <c r="B90" s="5" t="s">
        <v>25</v>
      </c>
      <c r="C90" s="4" t="s">
        <v>56</v>
      </c>
      <c r="D90" s="5"/>
      <c r="E90" s="4" t="s">
        <v>57</v>
      </c>
      <c r="F90" s="5" t="n">
        <v>3</v>
      </c>
      <c r="G90" s="4" t="s">
        <v>58</v>
      </c>
      <c r="H90" s="5" t="n">
        <v>5</v>
      </c>
      <c r="I90" s="5" t="n">
        <f aca="false">H90-F90</f>
        <v>2</v>
      </c>
      <c r="J90" s="4" t="s">
        <v>61</v>
      </c>
      <c r="K90" s="4" t="s">
        <v>62</v>
      </c>
      <c r="L90" s="4" t="s">
        <v>31</v>
      </c>
      <c r="M90" s="4"/>
    </row>
    <row r="91" customFormat="false" ht="15" hidden="false" customHeight="false" outlineLevel="0" collapsed="false">
      <c r="A91" s="5" t="n">
        <v>29</v>
      </c>
      <c r="B91" s="5" t="s">
        <v>25</v>
      </c>
      <c r="C91" s="4" t="s">
        <v>56</v>
      </c>
      <c r="D91" s="5"/>
      <c r="E91" s="4" t="s">
        <v>57</v>
      </c>
      <c r="F91" s="5" t="n">
        <v>2</v>
      </c>
      <c r="G91" s="4" t="s">
        <v>58</v>
      </c>
      <c r="H91" s="5" t="n">
        <v>2</v>
      </c>
      <c r="I91" s="5" t="n">
        <f aca="false">H91-F91</f>
        <v>0</v>
      </c>
      <c r="J91" s="4" t="s">
        <v>61</v>
      </c>
      <c r="K91" s="4" t="s">
        <v>62</v>
      </c>
      <c r="L91" s="4" t="s">
        <v>31</v>
      </c>
      <c r="M91" s="4"/>
    </row>
    <row r="92" customFormat="false" ht="15" hidden="false" customHeight="false" outlineLevel="0" collapsed="false">
      <c r="A92" s="5" t="n">
        <v>30</v>
      </c>
      <c r="B92" s="5" t="s">
        <v>25</v>
      </c>
      <c r="C92" s="4" t="s">
        <v>56</v>
      </c>
      <c r="D92" s="5"/>
      <c r="E92" s="4" t="s">
        <v>57</v>
      </c>
      <c r="F92" s="5" t="n">
        <v>3</v>
      </c>
      <c r="G92" s="4" t="s">
        <v>58</v>
      </c>
      <c r="H92" s="5" t="n">
        <v>3</v>
      </c>
      <c r="I92" s="5" t="n">
        <f aca="false">H92-F92</f>
        <v>0</v>
      </c>
      <c r="J92" s="4" t="s">
        <v>61</v>
      </c>
      <c r="K92" s="4" t="s">
        <v>62</v>
      </c>
      <c r="L92" s="4" t="s">
        <v>31</v>
      </c>
      <c r="M92" s="4"/>
    </row>
    <row r="93" customFormat="false" ht="15" hidden="false" customHeight="false" outlineLevel="0" collapsed="false">
      <c r="A93" s="5" t="n">
        <v>31</v>
      </c>
      <c r="B93" s="5" t="s">
        <v>25</v>
      </c>
      <c r="C93" s="4" t="s">
        <v>56</v>
      </c>
      <c r="D93" s="5"/>
      <c r="E93" s="4" t="s">
        <v>57</v>
      </c>
      <c r="F93" s="5" t="n">
        <v>8</v>
      </c>
      <c r="G93" s="4" t="s">
        <v>58</v>
      </c>
      <c r="H93" s="5" t="n">
        <v>6</v>
      </c>
      <c r="I93" s="5" t="n">
        <f aca="false">H93-F93</f>
        <v>-2</v>
      </c>
      <c r="J93" s="4" t="s">
        <v>61</v>
      </c>
      <c r="K93" s="4" t="s">
        <v>62</v>
      </c>
      <c r="L93" s="4" t="s">
        <v>31</v>
      </c>
      <c r="M93" s="4"/>
    </row>
    <row r="94" customFormat="false" ht="15" hidden="false" customHeight="false" outlineLevel="0" collapsed="false">
      <c r="A94" s="5" t="n">
        <v>32</v>
      </c>
      <c r="B94" s="5" t="s">
        <v>25</v>
      </c>
      <c r="C94" s="4" t="s">
        <v>56</v>
      </c>
      <c r="D94" s="5"/>
      <c r="E94" s="4" t="s">
        <v>57</v>
      </c>
      <c r="F94" s="5" t="n">
        <v>2</v>
      </c>
      <c r="G94" s="4" t="s">
        <v>58</v>
      </c>
      <c r="H94" s="5" t="n">
        <v>5</v>
      </c>
      <c r="I94" s="5" t="n">
        <f aca="false">H94-F94</f>
        <v>3</v>
      </c>
      <c r="J94" s="4" t="s">
        <v>61</v>
      </c>
      <c r="K94" s="4" t="s">
        <v>62</v>
      </c>
      <c r="L94" s="4" t="s">
        <v>31</v>
      </c>
      <c r="M94" s="4"/>
    </row>
    <row r="95" customFormat="false" ht="15" hidden="false" customHeight="false" outlineLevel="0" collapsed="false">
      <c r="A95" s="5" t="n">
        <v>33</v>
      </c>
      <c r="B95" s="5" t="s">
        <v>25</v>
      </c>
      <c r="C95" s="4" t="s">
        <v>56</v>
      </c>
      <c r="D95" s="5"/>
      <c r="E95" s="4" t="s">
        <v>57</v>
      </c>
      <c r="F95" s="5" t="n">
        <v>6</v>
      </c>
      <c r="G95" s="4" t="s">
        <v>58</v>
      </c>
      <c r="H95" s="5" t="n">
        <v>5</v>
      </c>
      <c r="I95" s="5" t="n">
        <f aca="false">H95-F95</f>
        <v>-1</v>
      </c>
      <c r="J95" s="4" t="s">
        <v>61</v>
      </c>
      <c r="K95" s="4" t="s">
        <v>62</v>
      </c>
      <c r="L95" s="4" t="s">
        <v>31</v>
      </c>
      <c r="M95" s="4"/>
    </row>
    <row r="96" customFormat="false" ht="15" hidden="false" customHeight="false" outlineLevel="0" collapsed="false">
      <c r="A96" s="5" t="n">
        <v>34</v>
      </c>
      <c r="B96" s="5" t="s">
        <v>25</v>
      </c>
      <c r="C96" s="4" t="s">
        <v>56</v>
      </c>
      <c r="D96" s="5"/>
      <c r="E96" s="4" t="s">
        <v>57</v>
      </c>
      <c r="F96" s="5" t="n">
        <v>11</v>
      </c>
      <c r="G96" s="4" t="s">
        <v>58</v>
      </c>
      <c r="H96" s="5" t="n">
        <v>10</v>
      </c>
      <c r="I96" s="5" t="n">
        <f aca="false">H96-F96</f>
        <v>-1</v>
      </c>
      <c r="J96" s="4" t="s">
        <v>61</v>
      </c>
      <c r="K96" s="4" t="s">
        <v>62</v>
      </c>
      <c r="L96" s="4" t="s">
        <v>31</v>
      </c>
      <c r="M96" s="4"/>
    </row>
    <row r="97" customFormat="false" ht="15" hidden="false" customHeight="false" outlineLevel="0" collapsed="false">
      <c r="A97" s="5" t="n">
        <v>35</v>
      </c>
      <c r="B97" s="5" t="s">
        <v>25</v>
      </c>
      <c r="C97" s="4" t="s">
        <v>56</v>
      </c>
      <c r="D97" s="5"/>
      <c r="E97" s="4" t="s">
        <v>57</v>
      </c>
      <c r="F97" s="5" t="n">
        <v>7</v>
      </c>
      <c r="G97" s="4" t="s">
        <v>58</v>
      </c>
      <c r="H97" s="5" t="n">
        <v>5</v>
      </c>
      <c r="I97" s="5" t="n">
        <f aca="false">H97-F97</f>
        <v>-2</v>
      </c>
      <c r="J97" s="4" t="s">
        <v>61</v>
      </c>
      <c r="K97" s="4" t="s">
        <v>62</v>
      </c>
      <c r="L97" s="4" t="s">
        <v>31</v>
      </c>
      <c r="M97" s="4"/>
    </row>
    <row r="98" customFormat="false" ht="15" hidden="false" customHeight="false" outlineLevel="0" collapsed="false">
      <c r="A98" s="5" t="n">
        <v>36</v>
      </c>
      <c r="B98" s="5" t="s">
        <v>25</v>
      </c>
      <c r="C98" s="4" t="s">
        <v>56</v>
      </c>
      <c r="D98" s="5"/>
      <c r="E98" s="4" t="s">
        <v>57</v>
      </c>
      <c r="F98" s="5" t="n">
        <v>5</v>
      </c>
      <c r="G98" s="4" t="s">
        <v>58</v>
      </c>
      <c r="H98" s="5" t="n">
        <v>8</v>
      </c>
      <c r="I98" s="5" t="n">
        <f aca="false">H98-F98</f>
        <v>3</v>
      </c>
      <c r="J98" s="4" t="s">
        <v>61</v>
      </c>
      <c r="K98" s="4" t="s">
        <v>62</v>
      </c>
      <c r="L98" s="4" t="s">
        <v>31</v>
      </c>
      <c r="M98" s="4"/>
    </row>
    <row r="99" customFormat="false" ht="15" hidden="false" customHeight="false" outlineLevel="0" collapsed="false">
      <c r="A99" s="5" t="n">
        <v>37</v>
      </c>
      <c r="B99" s="5" t="s">
        <v>25</v>
      </c>
      <c r="C99" s="4" t="s">
        <v>56</v>
      </c>
      <c r="D99" s="5"/>
      <c r="E99" s="4" t="s">
        <v>57</v>
      </c>
      <c r="F99" s="5" t="n">
        <v>6</v>
      </c>
      <c r="G99" s="4" t="s">
        <v>58</v>
      </c>
      <c r="H99" s="5" t="n">
        <v>5</v>
      </c>
      <c r="I99" s="5" t="n">
        <f aca="false">H99-F99</f>
        <v>-1</v>
      </c>
      <c r="J99" s="4" t="s">
        <v>61</v>
      </c>
      <c r="K99" s="4" t="s">
        <v>62</v>
      </c>
      <c r="L99" s="4" t="s">
        <v>31</v>
      </c>
      <c r="M99" s="4"/>
    </row>
    <row r="100" customFormat="false" ht="15" hidden="false" customHeight="false" outlineLevel="0" collapsed="false">
      <c r="A100" s="5" t="n">
        <v>38</v>
      </c>
      <c r="B100" s="5" t="s">
        <v>25</v>
      </c>
      <c r="C100" s="4" t="s">
        <v>56</v>
      </c>
      <c r="D100" s="5"/>
      <c r="E100" s="4" t="s">
        <v>57</v>
      </c>
      <c r="F100" s="5" t="n">
        <v>3</v>
      </c>
      <c r="G100" s="4" t="s">
        <v>58</v>
      </c>
      <c r="H100" s="5" t="n">
        <v>4</v>
      </c>
      <c r="I100" s="5" t="n">
        <f aca="false">H100-F100</f>
        <v>1</v>
      </c>
      <c r="J100" s="4" t="s">
        <v>61</v>
      </c>
      <c r="K100" s="4" t="s">
        <v>62</v>
      </c>
      <c r="L100" s="4" t="s">
        <v>31</v>
      </c>
      <c r="M100" s="4"/>
    </row>
    <row r="101" customFormat="false" ht="15" hidden="false" customHeight="false" outlineLevel="0" collapsed="false">
      <c r="A101" s="5" t="n">
        <v>39</v>
      </c>
      <c r="B101" s="5" t="s">
        <v>25</v>
      </c>
      <c r="C101" s="4" t="s">
        <v>56</v>
      </c>
      <c r="D101" s="5"/>
      <c r="E101" s="4" t="s">
        <v>57</v>
      </c>
      <c r="F101" s="5" t="n">
        <v>5</v>
      </c>
      <c r="G101" s="4" t="s">
        <v>58</v>
      </c>
      <c r="H101" s="5" t="n">
        <v>7</v>
      </c>
      <c r="I101" s="5" t="n">
        <f aca="false">H101-F101</f>
        <v>2</v>
      </c>
      <c r="J101" s="4" t="s">
        <v>61</v>
      </c>
      <c r="K101" s="4" t="s">
        <v>62</v>
      </c>
      <c r="L101" s="4" t="s">
        <v>31</v>
      </c>
      <c r="M101" s="4"/>
    </row>
    <row r="102" customFormat="false" ht="15" hidden="false" customHeight="false" outlineLevel="0" collapsed="false">
      <c r="A102" s="5" t="n">
        <v>40</v>
      </c>
      <c r="B102" s="5" t="s">
        <v>25</v>
      </c>
      <c r="C102" s="4" t="s">
        <v>56</v>
      </c>
      <c r="D102" s="5"/>
      <c r="E102" s="4" t="s">
        <v>57</v>
      </c>
      <c r="F102" s="5" t="n">
        <v>7</v>
      </c>
      <c r="G102" s="4" t="s">
        <v>58</v>
      </c>
      <c r="H102" s="5" t="n">
        <v>8</v>
      </c>
      <c r="I102" s="5" t="n">
        <f aca="false">H102-F102</f>
        <v>1</v>
      </c>
      <c r="J102" s="4" t="s">
        <v>61</v>
      </c>
      <c r="K102" s="4" t="s">
        <v>62</v>
      </c>
      <c r="L102" s="4" t="s">
        <v>31</v>
      </c>
      <c r="M102" s="4"/>
    </row>
    <row r="103" customFormat="false" ht="15" hidden="false" customHeight="false" outlineLevel="0" collapsed="false">
      <c r="A103" s="5" t="n">
        <v>41</v>
      </c>
      <c r="B103" s="5" t="s">
        <v>25</v>
      </c>
      <c r="C103" s="4" t="s">
        <v>56</v>
      </c>
      <c r="D103" s="5"/>
      <c r="E103" s="4" t="s">
        <v>57</v>
      </c>
      <c r="F103" s="5" t="n">
        <v>5</v>
      </c>
      <c r="G103" s="4" t="s">
        <v>58</v>
      </c>
      <c r="H103" s="5" t="n">
        <v>6</v>
      </c>
      <c r="I103" s="5" t="n">
        <f aca="false">H103-F103</f>
        <v>1</v>
      </c>
      <c r="J103" s="4" t="s">
        <v>61</v>
      </c>
      <c r="K103" s="4" t="s">
        <v>62</v>
      </c>
      <c r="L103" s="4" t="s">
        <v>31</v>
      </c>
      <c r="M103" s="4"/>
    </row>
    <row r="104" customFormat="false" ht="15" hidden="false" customHeight="false" outlineLevel="0" collapsed="false">
      <c r="A104" s="5" t="n">
        <v>42</v>
      </c>
      <c r="B104" s="5" t="s">
        <v>25</v>
      </c>
      <c r="C104" s="4" t="s">
        <v>56</v>
      </c>
      <c r="D104" s="5"/>
      <c r="E104" s="4" t="s">
        <v>57</v>
      </c>
      <c r="F104" s="5" t="n">
        <v>4</v>
      </c>
      <c r="G104" s="4" t="s">
        <v>58</v>
      </c>
      <c r="H104" s="5" t="n">
        <v>5</v>
      </c>
      <c r="I104" s="5" t="n">
        <f aca="false">H104-F104</f>
        <v>1</v>
      </c>
      <c r="J104" s="4" t="s">
        <v>61</v>
      </c>
      <c r="K104" s="4" t="s">
        <v>62</v>
      </c>
      <c r="L104" s="4" t="s">
        <v>31</v>
      </c>
      <c r="M104" s="4"/>
    </row>
    <row r="105" customFormat="false" ht="15" hidden="false" customHeight="false" outlineLevel="0" collapsed="false">
      <c r="A105" s="5" t="n">
        <v>43</v>
      </c>
      <c r="B105" s="5" t="s">
        <v>25</v>
      </c>
      <c r="C105" s="4" t="s">
        <v>56</v>
      </c>
      <c r="D105" s="5"/>
      <c r="E105" s="4" t="s">
        <v>57</v>
      </c>
      <c r="F105" s="5" t="n">
        <v>6</v>
      </c>
      <c r="G105" s="4" t="s">
        <v>58</v>
      </c>
      <c r="H105" s="5" t="n">
        <v>6</v>
      </c>
      <c r="I105" s="5" t="n">
        <f aca="false">H105-F105</f>
        <v>0</v>
      </c>
      <c r="J105" s="4" t="s">
        <v>61</v>
      </c>
      <c r="K105" s="4" t="s">
        <v>62</v>
      </c>
      <c r="L105" s="4" t="s">
        <v>31</v>
      </c>
      <c r="M105" s="4"/>
    </row>
    <row r="106" customFormat="false" ht="15" hidden="false" customHeight="false" outlineLevel="0" collapsed="false">
      <c r="A106" s="5" t="n">
        <v>44</v>
      </c>
      <c r="B106" s="5" t="s">
        <v>25</v>
      </c>
      <c r="C106" s="4" t="s">
        <v>56</v>
      </c>
      <c r="D106" s="5"/>
      <c r="E106" s="4" t="s">
        <v>57</v>
      </c>
      <c r="F106" s="5" t="n">
        <v>3</v>
      </c>
      <c r="G106" s="4" t="s">
        <v>58</v>
      </c>
      <c r="H106" s="5" t="n">
        <v>5</v>
      </c>
      <c r="I106" s="5" t="n">
        <f aca="false">H106-F106</f>
        <v>2</v>
      </c>
      <c r="J106" s="4" t="s">
        <v>61</v>
      </c>
      <c r="K106" s="4" t="s">
        <v>62</v>
      </c>
      <c r="L106" s="4" t="s">
        <v>31</v>
      </c>
      <c r="M106" s="4"/>
    </row>
    <row r="107" customFormat="false" ht="15" hidden="false" customHeight="false" outlineLevel="0" collapsed="false">
      <c r="A107" s="5" t="n">
        <v>45</v>
      </c>
      <c r="B107" s="5" t="s">
        <v>25</v>
      </c>
      <c r="C107" s="4" t="s">
        <v>56</v>
      </c>
      <c r="D107" s="5"/>
      <c r="E107" s="4" t="s">
        <v>57</v>
      </c>
      <c r="F107" s="5" t="n">
        <v>4</v>
      </c>
      <c r="G107" s="4" t="s">
        <v>58</v>
      </c>
      <c r="H107" s="5" t="n">
        <v>4</v>
      </c>
      <c r="I107" s="5" t="n">
        <f aca="false">H107-F107</f>
        <v>0</v>
      </c>
      <c r="J107" s="4" t="s">
        <v>61</v>
      </c>
      <c r="K107" s="4" t="s">
        <v>62</v>
      </c>
      <c r="L107" s="4" t="s">
        <v>31</v>
      </c>
      <c r="M107" s="4"/>
    </row>
    <row r="108" customFormat="false" ht="15" hidden="false" customHeight="false" outlineLevel="0" collapsed="false">
      <c r="A108" s="5" t="n">
        <v>46</v>
      </c>
      <c r="B108" s="5" t="s">
        <v>25</v>
      </c>
      <c r="C108" s="4" t="s">
        <v>56</v>
      </c>
      <c r="D108" s="5"/>
      <c r="E108" s="4" t="s">
        <v>57</v>
      </c>
      <c r="F108" s="5" t="n">
        <v>5</v>
      </c>
      <c r="G108" s="4" t="s">
        <v>58</v>
      </c>
      <c r="H108" s="5" t="n">
        <v>6</v>
      </c>
      <c r="I108" s="5" t="n">
        <f aca="false">H108-F108</f>
        <v>1</v>
      </c>
      <c r="J108" s="4" t="s">
        <v>61</v>
      </c>
      <c r="K108" s="4" t="s">
        <v>62</v>
      </c>
      <c r="L108" s="4" t="s">
        <v>31</v>
      </c>
      <c r="M108" s="4"/>
    </row>
    <row r="109" customFormat="false" ht="15" hidden="false" customHeight="false" outlineLevel="0" collapsed="false">
      <c r="A109" s="5" t="n">
        <v>47</v>
      </c>
      <c r="B109" s="5" t="s">
        <v>25</v>
      </c>
      <c r="C109" s="4" t="s">
        <v>56</v>
      </c>
      <c r="D109" s="5"/>
      <c r="E109" s="4" t="s">
        <v>57</v>
      </c>
      <c r="F109" s="5" t="n">
        <v>4</v>
      </c>
      <c r="G109" s="4" t="s">
        <v>58</v>
      </c>
      <c r="H109" s="5" t="n">
        <v>7</v>
      </c>
      <c r="I109" s="5" t="n">
        <f aca="false">H109-F109</f>
        <v>3</v>
      </c>
      <c r="J109" s="4" t="s">
        <v>61</v>
      </c>
      <c r="K109" s="4" t="s">
        <v>62</v>
      </c>
      <c r="L109" s="4" t="s">
        <v>31</v>
      </c>
      <c r="M109" s="4"/>
    </row>
    <row r="110" customFormat="false" ht="15" hidden="false" customHeight="false" outlineLevel="0" collapsed="false">
      <c r="A110" s="5" t="n">
        <v>48</v>
      </c>
      <c r="B110" s="5" t="s">
        <v>25</v>
      </c>
      <c r="C110" s="4" t="s">
        <v>56</v>
      </c>
      <c r="D110" s="5"/>
      <c r="E110" s="4" t="s">
        <v>57</v>
      </c>
      <c r="F110" s="5" t="n">
        <v>6</v>
      </c>
      <c r="G110" s="4" t="s">
        <v>58</v>
      </c>
      <c r="H110" s="5" t="n">
        <v>8</v>
      </c>
      <c r="I110" s="5" t="n">
        <f aca="false">H110-F110</f>
        <v>2</v>
      </c>
      <c r="J110" s="4" t="s">
        <v>61</v>
      </c>
      <c r="K110" s="4" t="s">
        <v>62</v>
      </c>
      <c r="L110" s="4" t="s">
        <v>31</v>
      </c>
      <c r="M110" s="4"/>
    </row>
    <row r="111" customFormat="false" ht="15" hidden="false" customHeight="false" outlineLevel="0" collapsed="false">
      <c r="A111" s="5" t="n">
        <v>49</v>
      </c>
      <c r="B111" s="5" t="s">
        <v>25</v>
      </c>
      <c r="C111" s="4" t="s">
        <v>56</v>
      </c>
      <c r="D111" s="5"/>
      <c r="E111" s="4" t="s">
        <v>57</v>
      </c>
      <c r="F111" s="5" t="n">
        <v>6</v>
      </c>
      <c r="G111" s="4" t="s">
        <v>58</v>
      </c>
      <c r="H111" s="5" t="n">
        <v>3</v>
      </c>
      <c r="I111" s="5" t="n">
        <f aca="false">H111-F111</f>
        <v>-3</v>
      </c>
      <c r="J111" s="4" t="s">
        <v>61</v>
      </c>
      <c r="K111" s="4" t="s">
        <v>62</v>
      </c>
      <c r="L111" s="4" t="s">
        <v>31</v>
      </c>
      <c r="M111" s="4"/>
    </row>
    <row r="112" customFormat="false" ht="15" hidden="false" customHeight="false" outlineLevel="0" collapsed="false">
      <c r="A112" s="5" t="n">
        <v>50</v>
      </c>
      <c r="B112" s="5" t="s">
        <v>25</v>
      </c>
      <c r="C112" s="4" t="s">
        <v>56</v>
      </c>
      <c r="D112" s="5"/>
      <c r="E112" s="4" t="s">
        <v>57</v>
      </c>
      <c r="F112" s="5" t="n">
        <v>2</v>
      </c>
      <c r="G112" s="4" t="s">
        <v>58</v>
      </c>
      <c r="H112" s="5" t="n">
        <v>4</v>
      </c>
      <c r="I112" s="5" t="n">
        <f aca="false">H112-F112</f>
        <v>2</v>
      </c>
      <c r="J112" s="4" t="s">
        <v>61</v>
      </c>
      <c r="K112" s="4" t="s">
        <v>62</v>
      </c>
      <c r="L112" s="4" t="s">
        <v>31</v>
      </c>
      <c r="M112" s="4"/>
    </row>
    <row r="113" customFormat="false" ht="15" hidden="false" customHeight="false" outlineLevel="0" collapsed="false">
      <c r="A113" s="5" t="n">
        <v>51</v>
      </c>
      <c r="B113" s="5" t="s">
        <v>25</v>
      </c>
      <c r="C113" s="4" t="s">
        <v>56</v>
      </c>
      <c r="D113" s="5"/>
      <c r="E113" s="4" t="s">
        <v>57</v>
      </c>
      <c r="F113" s="5" t="n">
        <v>4</v>
      </c>
      <c r="G113" s="4" t="s">
        <v>58</v>
      </c>
      <c r="H113" s="5" t="n">
        <v>4</v>
      </c>
      <c r="I113" s="5" t="n">
        <f aca="false">H113-F113</f>
        <v>0</v>
      </c>
      <c r="J113" s="4" t="s">
        <v>61</v>
      </c>
      <c r="K113" s="4" t="s">
        <v>62</v>
      </c>
      <c r="L113" s="4" t="s">
        <v>31</v>
      </c>
      <c r="M113" s="4"/>
    </row>
    <row r="114" customFormat="false" ht="15" hidden="false" customHeight="false" outlineLevel="0" collapsed="false">
      <c r="A114" s="5" t="n">
        <v>52</v>
      </c>
      <c r="B114" s="5" t="s">
        <v>25</v>
      </c>
      <c r="C114" s="4" t="s">
        <v>56</v>
      </c>
      <c r="D114" s="5"/>
      <c r="E114" s="4" t="s">
        <v>57</v>
      </c>
      <c r="F114" s="5" t="n">
        <v>6</v>
      </c>
      <c r="G114" s="4" t="s">
        <v>58</v>
      </c>
      <c r="H114" s="5" t="n">
        <v>6</v>
      </c>
      <c r="I114" s="5" t="n">
        <f aca="false">H114-F114</f>
        <v>0</v>
      </c>
      <c r="J114" s="4" t="s">
        <v>61</v>
      </c>
      <c r="K114" s="4" t="s">
        <v>62</v>
      </c>
      <c r="L114" s="4" t="s">
        <v>31</v>
      </c>
      <c r="M114" s="4"/>
    </row>
    <row r="115" customFormat="false" ht="15" hidden="false" customHeight="false" outlineLevel="0" collapsed="false">
      <c r="A115" s="5" t="n">
        <v>53</v>
      </c>
      <c r="B115" s="5" t="s">
        <v>25</v>
      </c>
      <c r="C115" s="4" t="s">
        <v>56</v>
      </c>
      <c r="D115" s="5"/>
      <c r="E115" s="4" t="s">
        <v>57</v>
      </c>
      <c r="F115" s="5" t="n">
        <v>5</v>
      </c>
      <c r="G115" s="4" t="s">
        <v>58</v>
      </c>
      <c r="H115" s="5" t="n">
        <v>4</v>
      </c>
      <c r="I115" s="5" t="n">
        <f aca="false">H115-F115</f>
        <v>-1</v>
      </c>
      <c r="J115" s="4" t="s">
        <v>61</v>
      </c>
      <c r="K115" s="4" t="s">
        <v>62</v>
      </c>
      <c r="L115" s="4" t="s">
        <v>31</v>
      </c>
      <c r="M115" s="4"/>
    </row>
    <row r="116" customFormat="false" ht="15" hidden="false" customHeight="false" outlineLevel="0" collapsed="false">
      <c r="A116" s="5" t="n">
        <v>54</v>
      </c>
      <c r="B116" s="5" t="s">
        <v>25</v>
      </c>
      <c r="C116" s="4" t="s">
        <v>56</v>
      </c>
      <c r="D116" s="5"/>
      <c r="E116" s="4" t="s">
        <v>57</v>
      </c>
      <c r="F116" s="5" t="n">
        <v>9</v>
      </c>
      <c r="G116" s="4" t="s">
        <v>58</v>
      </c>
      <c r="H116" s="5" t="n">
        <v>3</v>
      </c>
      <c r="I116" s="5" t="n">
        <f aca="false">H116-F116</f>
        <v>-6</v>
      </c>
      <c r="J116" s="4" t="s">
        <v>61</v>
      </c>
      <c r="K116" s="4" t="s">
        <v>62</v>
      </c>
      <c r="L116" s="4" t="s">
        <v>31</v>
      </c>
      <c r="M116" s="4"/>
    </row>
    <row r="117" customFormat="false" ht="15" hidden="false" customHeight="false" outlineLevel="0" collapsed="false">
      <c r="A117" s="5" t="n">
        <v>55</v>
      </c>
      <c r="B117" s="5" t="s">
        <v>25</v>
      </c>
      <c r="C117" s="4" t="s">
        <v>56</v>
      </c>
      <c r="D117" s="5"/>
      <c r="E117" s="4" t="s">
        <v>57</v>
      </c>
      <c r="F117" s="5" t="n">
        <v>7</v>
      </c>
      <c r="G117" s="4" t="s">
        <v>58</v>
      </c>
      <c r="H117" s="5" t="n">
        <v>5</v>
      </c>
      <c r="I117" s="5" t="n">
        <f aca="false">H117-F117</f>
        <v>-2</v>
      </c>
      <c r="J117" s="4" t="s">
        <v>61</v>
      </c>
      <c r="K117" s="4" t="s">
        <v>62</v>
      </c>
      <c r="L117" s="4" t="s">
        <v>31</v>
      </c>
      <c r="M117" s="4"/>
    </row>
    <row r="118" customFormat="false" ht="15" hidden="false" customHeight="false" outlineLevel="0" collapsed="false">
      <c r="A118" s="5" t="n">
        <v>56</v>
      </c>
      <c r="B118" s="5" t="s">
        <v>25</v>
      </c>
      <c r="C118" s="4" t="s">
        <v>56</v>
      </c>
      <c r="D118" s="5"/>
      <c r="E118" s="4" t="s">
        <v>57</v>
      </c>
      <c r="F118" s="5" t="n">
        <v>7</v>
      </c>
      <c r="G118" s="4" t="s">
        <v>58</v>
      </c>
      <c r="H118" s="5" t="n">
        <v>6</v>
      </c>
      <c r="I118" s="5" t="n">
        <f aca="false">H118-F118</f>
        <v>-1</v>
      </c>
      <c r="J118" s="4" t="s">
        <v>61</v>
      </c>
      <c r="K118" s="4" t="s">
        <v>62</v>
      </c>
      <c r="L118" s="4" t="s">
        <v>31</v>
      </c>
      <c r="M118" s="4"/>
    </row>
    <row r="119" customFormat="false" ht="15" hidden="false" customHeight="false" outlineLevel="0" collapsed="false">
      <c r="A119" s="5" t="n">
        <v>57</v>
      </c>
      <c r="B119" s="5" t="s">
        <v>25</v>
      </c>
      <c r="C119" s="4" t="s">
        <v>56</v>
      </c>
      <c r="D119" s="5"/>
      <c r="E119" s="4" t="s">
        <v>57</v>
      </c>
      <c r="F119" s="5" t="n">
        <v>5</v>
      </c>
      <c r="G119" s="4" t="s">
        <v>58</v>
      </c>
      <c r="H119" s="5" t="n">
        <v>8</v>
      </c>
      <c r="I119" s="5" t="n">
        <f aca="false">H119-F119</f>
        <v>3</v>
      </c>
      <c r="J119" s="4" t="s">
        <v>61</v>
      </c>
      <c r="K119" s="4" t="s">
        <v>62</v>
      </c>
      <c r="L119" s="4" t="s">
        <v>31</v>
      </c>
      <c r="M119" s="4"/>
    </row>
    <row r="120" customFormat="false" ht="15" hidden="false" customHeight="false" outlineLevel="0" collapsed="false">
      <c r="A120" s="5" t="n">
        <v>58</v>
      </c>
      <c r="B120" s="5" t="s">
        <v>25</v>
      </c>
      <c r="C120" s="4" t="s">
        <v>56</v>
      </c>
      <c r="D120" s="5"/>
      <c r="E120" s="4" t="s">
        <v>57</v>
      </c>
      <c r="F120" s="5" t="n">
        <v>4</v>
      </c>
      <c r="G120" s="4" t="s">
        <v>58</v>
      </c>
      <c r="H120" s="5" t="n">
        <v>2</v>
      </c>
      <c r="I120" s="5" t="n">
        <f aca="false">H120-F120</f>
        <v>-2</v>
      </c>
      <c r="J120" s="4" t="s">
        <v>61</v>
      </c>
      <c r="K120" s="4" t="s">
        <v>62</v>
      </c>
      <c r="L120" s="4" t="s">
        <v>31</v>
      </c>
      <c r="M120" s="4"/>
    </row>
    <row r="121" customFormat="false" ht="15" hidden="false" customHeight="false" outlineLevel="0" collapsed="false">
      <c r="A121" s="5" t="n">
        <v>59</v>
      </c>
      <c r="B121" s="5" t="s">
        <v>25</v>
      </c>
      <c r="C121" s="4" t="s">
        <v>56</v>
      </c>
      <c r="D121" s="5"/>
      <c r="E121" s="4" t="s">
        <v>57</v>
      </c>
      <c r="F121" s="5" t="n">
        <v>3</v>
      </c>
      <c r="G121" s="4" t="s">
        <v>58</v>
      </c>
      <c r="H121" s="5" t="n">
        <v>2</v>
      </c>
      <c r="I121" s="5" t="n">
        <f aca="false">H121-F121</f>
        <v>-1</v>
      </c>
      <c r="J121" s="4" t="s">
        <v>61</v>
      </c>
      <c r="K121" s="4" t="s">
        <v>62</v>
      </c>
      <c r="L121" s="4" t="s">
        <v>31</v>
      </c>
      <c r="M121" s="4"/>
    </row>
    <row r="122" customFormat="false" ht="15" hidden="false" customHeight="false" outlineLevel="0" collapsed="false">
      <c r="A122" s="5" t="n">
        <v>60</v>
      </c>
      <c r="B122" s="5" t="s">
        <v>25</v>
      </c>
      <c r="C122" s="4" t="s">
        <v>56</v>
      </c>
      <c r="D122" s="5"/>
      <c r="E122" s="4" t="s">
        <v>57</v>
      </c>
      <c r="F122" s="5" t="n">
        <v>3</v>
      </c>
      <c r="G122" s="4" t="s">
        <v>58</v>
      </c>
      <c r="H122" s="5" t="n">
        <v>3</v>
      </c>
      <c r="I122" s="5" t="n">
        <f aca="false">H122-F122</f>
        <v>0</v>
      </c>
      <c r="J122" s="4" t="s">
        <v>61</v>
      </c>
      <c r="K122" s="4" t="s">
        <v>62</v>
      </c>
      <c r="L122" s="4" t="s">
        <v>31</v>
      </c>
      <c r="M122" s="4"/>
    </row>
    <row r="123" customFormat="false" ht="15" hidden="false" customHeight="false" outlineLevel="0" collapsed="false">
      <c r="A123" s="5" t="n">
        <v>61</v>
      </c>
      <c r="B123" s="5" t="s">
        <v>25</v>
      </c>
      <c r="C123" s="4" t="s">
        <v>56</v>
      </c>
      <c r="D123" s="5"/>
      <c r="E123" s="4" t="s">
        <v>57</v>
      </c>
      <c r="F123" s="5" t="n">
        <v>6</v>
      </c>
      <c r="G123" s="4" t="s">
        <v>58</v>
      </c>
      <c r="H123" s="5" t="n">
        <v>5</v>
      </c>
      <c r="I123" s="5" t="n">
        <f aca="false">H123-F123</f>
        <v>-1</v>
      </c>
      <c r="J123" s="4" t="s">
        <v>61</v>
      </c>
      <c r="K123" s="4" t="s">
        <v>62</v>
      </c>
      <c r="L123" s="4" t="s">
        <v>31</v>
      </c>
      <c r="M1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8"/>
    <col collapsed="false" customWidth="true" hidden="false" outlineLevel="0" max="10" min="3" style="0" width="15"/>
  </cols>
  <sheetData>
    <row r="1" customFormat="false" ht="15" hidden="false" customHeight="false" outlineLevel="0" collapsed="false">
      <c r="A1" s="3" t="s">
        <v>63</v>
      </c>
      <c r="B1" s="3" t="s">
        <v>64</v>
      </c>
    </row>
    <row r="2" customFormat="false" ht="15" hidden="false" customHeight="false" outlineLevel="0" collapsed="false">
      <c r="A2" s="6" t="s">
        <v>14</v>
      </c>
      <c r="B2" s="4" t="s">
        <v>25</v>
      </c>
    </row>
    <row r="3" customFormat="false" ht="35.05" hidden="false" customHeight="false" outlineLevel="0" collapsed="false">
      <c r="A3" s="6" t="s">
        <v>65</v>
      </c>
      <c r="B3" s="4" t="s">
        <v>66</v>
      </c>
    </row>
    <row r="4" customFormat="false" ht="23.85" hidden="false" customHeight="false" outlineLevel="0" collapsed="false">
      <c r="A4" s="6" t="s">
        <v>67</v>
      </c>
      <c r="B4" s="4" t="s">
        <v>68</v>
      </c>
    </row>
    <row r="5" customFormat="false" ht="15" hidden="false" customHeight="false" outlineLevel="0" collapsed="false">
      <c r="A5" s="6" t="s">
        <v>69</v>
      </c>
      <c r="B5" s="4" t="s">
        <v>70</v>
      </c>
    </row>
    <row r="6" customFormat="false" ht="15" hidden="false" customHeight="false" outlineLevel="0" collapsed="false">
      <c r="A6" s="6" t="s">
        <v>16</v>
      </c>
      <c r="B6" s="4" t="s">
        <v>27</v>
      </c>
    </row>
    <row r="7" customFormat="false" ht="15" hidden="false" customHeight="false" outlineLevel="0" collapsed="false">
      <c r="A7" s="6" t="s">
        <v>71</v>
      </c>
      <c r="B7" s="4" t="s">
        <v>72</v>
      </c>
    </row>
    <row r="8" customFormat="false" ht="15" hidden="false" customHeight="false" outlineLevel="0" collapsed="false">
      <c r="A8" s="6" t="s">
        <v>73</v>
      </c>
      <c r="B8" s="4" t="s">
        <v>74</v>
      </c>
    </row>
    <row r="9" customFormat="false" ht="15" hidden="false" customHeight="false" outlineLevel="0" collapsed="false">
      <c r="A9" s="6" t="s">
        <v>75</v>
      </c>
      <c r="B9" s="4" t="s">
        <v>76</v>
      </c>
    </row>
    <row r="10" customFormat="false" ht="15" hidden="false" customHeight="false" outlineLevel="0" collapsed="false">
      <c r="A10" s="6" t="s">
        <v>17</v>
      </c>
      <c r="B10" s="4" t="s">
        <v>28</v>
      </c>
    </row>
    <row r="11" customFormat="false" ht="15" hidden="false" customHeight="false" outlineLevel="0" collapsed="false">
      <c r="A11" s="6" t="s">
        <v>77</v>
      </c>
      <c r="B11" s="4" t="s">
        <v>78</v>
      </c>
    </row>
    <row r="12" customFormat="false" ht="23.85" hidden="false" customHeight="false" outlineLevel="0" collapsed="false">
      <c r="A12" s="6" t="s">
        <v>79</v>
      </c>
      <c r="B12" s="4" t="s">
        <v>80</v>
      </c>
    </row>
    <row r="13" customFormat="false" ht="23.85" hidden="false" customHeight="false" outlineLevel="0" collapsed="false">
      <c r="A13" s="6" t="s">
        <v>81</v>
      </c>
      <c r="B13" s="4" t="s">
        <v>82</v>
      </c>
    </row>
    <row r="14" customFormat="false" ht="15" hidden="false" customHeight="false" outlineLevel="0" collapsed="false">
      <c r="A14" s="6" t="s">
        <v>83</v>
      </c>
      <c r="B14" s="4" t="s">
        <v>84</v>
      </c>
    </row>
    <row r="15" customFormat="false" ht="15" hidden="false" customHeight="false" outlineLevel="0" collapsed="false">
      <c r="A15" s="6" t="s">
        <v>85</v>
      </c>
      <c r="B15" s="4" t="s">
        <v>86</v>
      </c>
    </row>
    <row r="16" customFormat="false" ht="15" hidden="false" customHeight="false" outlineLevel="0" collapsed="false">
      <c r="A16" s="6" t="s">
        <v>87</v>
      </c>
      <c r="B16" s="4" t="s">
        <v>88</v>
      </c>
    </row>
    <row r="17" customFormat="false" ht="15" hidden="false" customHeight="false" outlineLevel="0" collapsed="false">
      <c r="A17" s="6" t="s">
        <v>89</v>
      </c>
      <c r="B17" s="4" t="s">
        <v>90</v>
      </c>
    </row>
    <row r="18" customFormat="false" ht="23.85" hidden="false" customHeight="false" outlineLevel="0" collapsed="false">
      <c r="A18" s="6" t="s">
        <v>91</v>
      </c>
      <c r="B18" s="4" t="s">
        <v>92</v>
      </c>
    </row>
    <row r="19" customFormat="false" ht="15" hidden="false" customHeight="false" outlineLevel="0" collapsed="false">
      <c r="A19" s="6" t="s">
        <v>20</v>
      </c>
      <c r="B19" s="4" t="s">
        <v>31</v>
      </c>
    </row>
    <row r="20" customFormat="false" ht="35.05" hidden="false" customHeight="false" outlineLevel="0" collapsed="false">
      <c r="A20" s="6" t="s">
        <v>93</v>
      </c>
      <c r="B20" s="4" t="s">
        <v>94</v>
      </c>
    </row>
    <row r="21" customFormat="false" ht="15" hidden="false" customHeight="false" outlineLevel="0" collapsed="false">
      <c r="A21" s="6" t="s">
        <v>95</v>
      </c>
      <c r="B21" s="4" t="s">
        <v>96</v>
      </c>
    </row>
    <row r="22" customFormat="false" ht="35.05" hidden="false" customHeight="false" outlineLevel="0" collapsed="false">
      <c r="A22" s="6" t="s">
        <v>97</v>
      </c>
      <c r="B22" s="4" t="s">
        <v>98</v>
      </c>
    </row>
    <row r="24" customFormat="false" ht="15" hidden="false" customHeight="false" outlineLevel="0" collapsed="false">
      <c r="A24" s="7" t="s">
        <v>99</v>
      </c>
    </row>
    <row r="25" customFormat="false" ht="15" hidden="false" customHeight="false" outlineLevel="0" collapsed="false">
      <c r="A25" s="6" t="s">
        <v>59</v>
      </c>
      <c r="B25" s="4" t="s">
        <v>100</v>
      </c>
    </row>
    <row r="26" customFormat="false" ht="15" hidden="false" customHeight="false" outlineLevel="0" collapsed="false">
      <c r="A26" s="6" t="s">
        <v>61</v>
      </c>
      <c r="B26" s="4" t="s">
        <v>101</v>
      </c>
    </row>
    <row r="28" customFormat="false" ht="15" hidden="false" customHeight="false" outlineLevel="0" collapsed="false">
      <c r="A28" s="7" t="s">
        <v>102</v>
      </c>
    </row>
    <row r="29" customFormat="false" ht="23.85" hidden="false" customHeight="false" outlineLevel="0" collapsed="false">
      <c r="A29" s="8" t="s">
        <v>53</v>
      </c>
      <c r="B29" s="8" t="s">
        <v>103</v>
      </c>
      <c r="C29" s="8" t="s">
        <v>104</v>
      </c>
      <c r="D29" s="8" t="s">
        <v>105</v>
      </c>
      <c r="E29" s="8" t="s">
        <v>106</v>
      </c>
      <c r="F29" s="8" t="s">
        <v>107</v>
      </c>
      <c r="G29" s="8" t="s">
        <v>108</v>
      </c>
      <c r="H29" s="8" t="s">
        <v>109</v>
      </c>
      <c r="I29" s="8" t="s">
        <v>110</v>
      </c>
      <c r="J29" s="8" t="s">
        <v>111</v>
      </c>
    </row>
    <row r="30" customFormat="false" ht="15" hidden="false" customHeight="false" outlineLevel="0" collapsed="false">
      <c r="A30" s="5" t="s">
        <v>59</v>
      </c>
      <c r="B30" s="5" t="n">
        <v>3.89</v>
      </c>
      <c r="C30" s="5" t="n">
        <v>60</v>
      </c>
      <c r="D30" s="5" t="s">
        <v>112</v>
      </c>
      <c r="E30" s="5" t="s">
        <v>113</v>
      </c>
      <c r="F30" s="5" t="n">
        <f aca="false">AVERAGE(dados_01_barragens!I2:I62)/(STDEV(dados_01_barragens!I2:I62)/SQRT(COUNT(dados_01_barragens!I2:I62)))</f>
        <v>3.90322217917325</v>
      </c>
      <c r="G30" s="5" t="n">
        <f aca="false">COUNT(dados_01_barragens!I2:I62)-1</f>
        <v>60</v>
      </c>
      <c r="H30" s="5" t="n">
        <f aca="false">TDIST(ABS(F30),G30,2)</f>
        <v>0.000242938144345128</v>
      </c>
      <c r="I30" s="5" t="str">
        <f aca="false">IF(H30&lt;0.05,"significativo","nao significativo")</f>
        <v>significativo</v>
      </c>
      <c r="J30" s="5" t="str">
        <f aca="false">IF(E30=I30,"Sim","NAO")</f>
        <v>Sim</v>
      </c>
    </row>
    <row r="31" customFormat="false" ht="15" hidden="false" customHeight="false" outlineLevel="0" collapsed="false">
      <c r="A31" s="5" t="s">
        <v>61</v>
      </c>
      <c r="B31" s="5" t="n">
        <v>1.24</v>
      </c>
      <c r="C31" s="5" t="n">
        <v>60</v>
      </c>
      <c r="D31" s="5" t="s">
        <v>114</v>
      </c>
      <c r="E31" s="5" t="s">
        <v>115</v>
      </c>
      <c r="F31" s="5" t="n">
        <f aca="false">AVERAGE(dados_01_barragens!I63:I123)/(STDEV(dados_01_barragens!I63:I123)/SQRT(COUNT(dados_01_barragens!I63:I123)))</f>
        <v>1.25391654302105</v>
      </c>
      <c r="G31" s="5" t="n">
        <f aca="false">COUNT(dados_01_barragens!I63:I123)-1</f>
        <v>60</v>
      </c>
      <c r="H31" s="5" t="n">
        <f aca="false">TDIST(ABS(F31),G31,2)</f>
        <v>0.214735905760167</v>
      </c>
      <c r="I31" s="5" t="str">
        <f aca="false">IF(H31&lt;0.05,"significativo","nao significativo")</f>
        <v>nao significativo</v>
      </c>
      <c r="J31" s="5" t="str">
        <f aca="false">IF(E31=I31,"Sim","NAO")</f>
        <v>Sim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26"/>
    <col collapsed="false" customWidth="true" hidden="false" outlineLevel="0" max="13" min="13" style="0" width="22"/>
  </cols>
  <sheetData>
    <row r="1" customFormat="false" ht="23.85" hidden="false" customHeight="false" outlineLevel="0" collapsed="false">
      <c r="A1" s="3" t="s">
        <v>45</v>
      </c>
      <c r="B1" s="3" t="s">
        <v>14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20</v>
      </c>
      <c r="M1" s="3" t="s">
        <v>55</v>
      </c>
    </row>
    <row r="2" customFormat="false" ht="23.85" hidden="false" customHeight="false" outlineLevel="0" collapsed="false">
      <c r="A2" s="5" t="n">
        <v>1</v>
      </c>
      <c r="B2" s="5" t="s">
        <v>36</v>
      </c>
      <c r="C2" s="4" t="s">
        <v>116</v>
      </c>
      <c r="D2" s="5"/>
      <c r="E2" s="4" t="s">
        <v>117</v>
      </c>
      <c r="F2" s="5" t="n">
        <v>11.7</v>
      </c>
      <c r="G2" s="4" t="s">
        <v>118</v>
      </c>
      <c r="H2" s="5" t="n">
        <v>10.6</v>
      </c>
      <c r="I2" s="5" t="n">
        <f aca="false">H2-F2</f>
        <v>-1.1</v>
      </c>
      <c r="J2" s="4" t="s">
        <v>119</v>
      </c>
      <c r="K2" s="4" t="s">
        <v>120</v>
      </c>
      <c r="L2" s="4" t="s">
        <v>42</v>
      </c>
      <c r="M2" s="4"/>
    </row>
    <row r="3" customFormat="false" ht="23.85" hidden="false" customHeight="false" outlineLevel="0" collapsed="false">
      <c r="A3" s="5" t="n">
        <v>2</v>
      </c>
      <c r="B3" s="5" t="s">
        <v>36</v>
      </c>
      <c r="C3" s="4" t="s">
        <v>116</v>
      </c>
      <c r="D3" s="5"/>
      <c r="E3" s="4" t="s">
        <v>117</v>
      </c>
      <c r="F3" s="5" t="n">
        <v>49</v>
      </c>
      <c r="G3" s="4" t="s">
        <v>118</v>
      </c>
      <c r="H3" s="5" t="n">
        <v>26.7</v>
      </c>
      <c r="I3" s="5" t="n">
        <f aca="false">H3-F3</f>
        <v>-22.3</v>
      </c>
      <c r="J3" s="4" t="s">
        <v>119</v>
      </c>
      <c r="K3" s="4" t="s">
        <v>120</v>
      </c>
      <c r="L3" s="4" t="s">
        <v>42</v>
      </c>
      <c r="M3" s="4"/>
    </row>
    <row r="4" customFormat="false" ht="23.85" hidden="false" customHeight="false" outlineLevel="0" collapsed="false">
      <c r="A4" s="5" t="n">
        <v>3</v>
      </c>
      <c r="B4" s="5" t="s">
        <v>36</v>
      </c>
      <c r="C4" s="4" t="s">
        <v>116</v>
      </c>
      <c r="D4" s="5"/>
      <c r="E4" s="4" t="s">
        <v>117</v>
      </c>
      <c r="F4" s="5" t="n">
        <v>4.8</v>
      </c>
      <c r="G4" s="4" t="s">
        <v>118</v>
      </c>
      <c r="H4" s="5" t="n">
        <v>2.5</v>
      </c>
      <c r="I4" s="5" t="n">
        <f aca="false">H4-F4</f>
        <v>-2.3</v>
      </c>
      <c r="J4" s="4" t="s">
        <v>119</v>
      </c>
      <c r="K4" s="4" t="s">
        <v>120</v>
      </c>
      <c r="L4" s="4" t="s">
        <v>42</v>
      </c>
      <c r="M4" s="4"/>
    </row>
    <row r="5" customFormat="false" ht="23.85" hidden="false" customHeight="false" outlineLevel="0" collapsed="false">
      <c r="A5" s="5" t="n">
        <v>4</v>
      </c>
      <c r="B5" s="5" t="s">
        <v>36</v>
      </c>
      <c r="C5" s="4" t="s">
        <v>116</v>
      </c>
      <c r="D5" s="5"/>
      <c r="E5" s="4" t="s">
        <v>117</v>
      </c>
      <c r="F5" s="5" t="n">
        <v>11.6</v>
      </c>
      <c r="G5" s="4" t="s">
        <v>118</v>
      </c>
      <c r="H5" s="5" t="n">
        <v>4.6</v>
      </c>
      <c r="I5" s="5" t="n">
        <f aca="false">H5-F5</f>
        <v>-7</v>
      </c>
      <c r="J5" s="4" t="s">
        <v>119</v>
      </c>
      <c r="K5" s="4" t="s">
        <v>120</v>
      </c>
      <c r="L5" s="4" t="s">
        <v>42</v>
      </c>
      <c r="M5" s="4"/>
    </row>
    <row r="6" customFormat="false" ht="23.85" hidden="false" customHeight="false" outlineLevel="0" collapsed="false">
      <c r="A6" s="5" t="n">
        <v>5</v>
      </c>
      <c r="B6" s="5" t="s">
        <v>36</v>
      </c>
      <c r="C6" s="4" t="s">
        <v>116</v>
      </c>
      <c r="D6" s="5"/>
      <c r="E6" s="4" t="s">
        <v>117</v>
      </c>
      <c r="F6" s="5" t="n">
        <v>3.1</v>
      </c>
      <c r="G6" s="4" t="s">
        <v>118</v>
      </c>
      <c r="H6" s="5" t="n">
        <v>1</v>
      </c>
      <c r="I6" s="5" t="n">
        <f aca="false">H6-F6</f>
        <v>-2.1</v>
      </c>
      <c r="J6" s="4" t="s">
        <v>119</v>
      </c>
      <c r="K6" s="4" t="s">
        <v>120</v>
      </c>
      <c r="L6" s="4" t="s">
        <v>42</v>
      </c>
      <c r="M6" s="4"/>
    </row>
    <row r="7" customFormat="false" ht="23.85" hidden="false" customHeight="false" outlineLevel="0" collapsed="false">
      <c r="A7" s="5" t="n">
        <v>6</v>
      </c>
      <c r="B7" s="5" t="s">
        <v>36</v>
      </c>
      <c r="C7" s="4" t="s">
        <v>116</v>
      </c>
      <c r="D7" s="5"/>
      <c r="E7" s="4" t="s">
        <v>117</v>
      </c>
      <c r="F7" s="5" t="n">
        <v>22.6</v>
      </c>
      <c r="G7" s="4" t="s">
        <v>118</v>
      </c>
      <c r="H7" s="5" t="n">
        <v>10.7</v>
      </c>
      <c r="I7" s="5" t="n">
        <f aca="false">H7-F7</f>
        <v>-11.9</v>
      </c>
      <c r="J7" s="4" t="s">
        <v>119</v>
      </c>
      <c r="K7" s="4" t="s">
        <v>120</v>
      </c>
      <c r="L7" s="4" t="s">
        <v>42</v>
      </c>
      <c r="M7" s="4"/>
    </row>
    <row r="8" customFormat="false" ht="23.85" hidden="false" customHeight="false" outlineLevel="0" collapsed="false">
      <c r="A8" s="5" t="n">
        <v>7</v>
      </c>
      <c r="B8" s="5" t="s">
        <v>36</v>
      </c>
      <c r="C8" s="4" t="s">
        <v>116</v>
      </c>
      <c r="D8" s="5"/>
      <c r="E8" s="4" t="s">
        <v>117</v>
      </c>
      <c r="F8" s="5" t="n">
        <v>8.9</v>
      </c>
      <c r="G8" s="4" t="s">
        <v>118</v>
      </c>
      <c r="H8" s="5" t="n">
        <v>5.9</v>
      </c>
      <c r="I8" s="5" t="n">
        <f aca="false">H8-F8</f>
        <v>-3</v>
      </c>
      <c r="J8" s="4" t="s">
        <v>119</v>
      </c>
      <c r="K8" s="4" t="s">
        <v>120</v>
      </c>
      <c r="L8" s="4" t="s">
        <v>42</v>
      </c>
      <c r="M8" s="4"/>
    </row>
    <row r="9" customFormat="false" ht="23.85" hidden="false" customHeight="false" outlineLevel="0" collapsed="false">
      <c r="A9" s="5" t="n">
        <v>8</v>
      </c>
      <c r="B9" s="5" t="s">
        <v>36</v>
      </c>
      <c r="C9" s="4" t="s">
        <v>116</v>
      </c>
      <c r="D9" s="5"/>
      <c r="E9" s="4" t="s">
        <v>117</v>
      </c>
      <c r="F9" s="5" t="n">
        <v>10.8</v>
      </c>
      <c r="G9" s="4" t="s">
        <v>118</v>
      </c>
      <c r="H9" s="5" t="n">
        <v>4.6</v>
      </c>
      <c r="I9" s="5" t="n">
        <f aca="false">H9-F9</f>
        <v>-6.2</v>
      </c>
      <c r="J9" s="4" t="s">
        <v>119</v>
      </c>
      <c r="K9" s="4" t="s">
        <v>120</v>
      </c>
      <c r="L9" s="4" t="s">
        <v>42</v>
      </c>
      <c r="M9" s="4"/>
    </row>
    <row r="10" customFormat="false" ht="23.85" hidden="false" customHeight="false" outlineLevel="0" collapsed="false">
      <c r="A10" s="5" t="n">
        <v>9</v>
      </c>
      <c r="B10" s="5" t="s">
        <v>36</v>
      </c>
      <c r="C10" s="4" t="s">
        <v>116</v>
      </c>
      <c r="D10" s="5"/>
      <c r="E10" s="4" t="s">
        <v>117</v>
      </c>
      <c r="F10" s="5" t="n">
        <v>8.6</v>
      </c>
      <c r="G10" s="4" t="s">
        <v>118</v>
      </c>
      <c r="H10" s="5" t="n">
        <v>5.1</v>
      </c>
      <c r="I10" s="5" t="n">
        <f aca="false">H10-F10</f>
        <v>-3.5</v>
      </c>
      <c r="J10" s="4" t="s">
        <v>119</v>
      </c>
      <c r="K10" s="4" t="s">
        <v>120</v>
      </c>
      <c r="L10" s="4" t="s">
        <v>42</v>
      </c>
      <c r="M10" s="4"/>
    </row>
    <row r="11" customFormat="false" ht="23.85" hidden="false" customHeight="false" outlineLevel="0" collapsed="false">
      <c r="A11" s="5" t="n">
        <v>10</v>
      </c>
      <c r="B11" s="5" t="s">
        <v>36</v>
      </c>
      <c r="C11" s="4" t="s">
        <v>116</v>
      </c>
      <c r="D11" s="5"/>
      <c r="E11" s="4" t="s">
        <v>117</v>
      </c>
      <c r="F11" s="5" t="n">
        <v>21.3</v>
      </c>
      <c r="G11" s="4" t="s">
        <v>118</v>
      </c>
      <c r="H11" s="5" t="n">
        <v>17.8</v>
      </c>
      <c r="I11" s="5" t="n">
        <f aca="false">H11-F11</f>
        <v>-3.5</v>
      </c>
      <c r="J11" s="4" t="s">
        <v>119</v>
      </c>
      <c r="K11" s="4" t="s">
        <v>120</v>
      </c>
      <c r="L11" s="4" t="s">
        <v>42</v>
      </c>
      <c r="M11" s="4"/>
    </row>
    <row r="12" customFormat="false" ht="23.85" hidden="false" customHeight="false" outlineLevel="0" collapsed="false">
      <c r="A12" s="5" t="n">
        <v>11</v>
      </c>
      <c r="B12" s="5" t="s">
        <v>36</v>
      </c>
      <c r="C12" s="4" t="s">
        <v>116</v>
      </c>
      <c r="D12" s="5"/>
      <c r="E12" s="4" t="s">
        <v>117</v>
      </c>
      <c r="F12" s="5" t="n">
        <v>18</v>
      </c>
      <c r="G12" s="4" t="s">
        <v>118</v>
      </c>
      <c r="H12" s="5" t="n">
        <v>13</v>
      </c>
      <c r="I12" s="5" t="n">
        <f aca="false">H12-F12</f>
        <v>-5</v>
      </c>
      <c r="J12" s="4" t="s">
        <v>119</v>
      </c>
      <c r="K12" s="4" t="s">
        <v>120</v>
      </c>
      <c r="L12" s="4" t="s">
        <v>42</v>
      </c>
      <c r="M12" s="4"/>
    </row>
    <row r="13" customFormat="false" ht="23.85" hidden="false" customHeight="false" outlineLevel="0" collapsed="false">
      <c r="A13" s="5" t="n">
        <v>12</v>
      </c>
      <c r="B13" s="5" t="s">
        <v>36</v>
      </c>
      <c r="C13" s="4" t="s">
        <v>116</v>
      </c>
      <c r="D13" s="5"/>
      <c r="E13" s="4" t="s">
        <v>117</v>
      </c>
      <c r="F13" s="5" t="n">
        <v>11.9</v>
      </c>
      <c r="G13" s="4" t="s">
        <v>118</v>
      </c>
      <c r="H13" s="5" t="n">
        <v>9.7</v>
      </c>
      <c r="I13" s="5" t="n">
        <f aca="false">H13-F13</f>
        <v>-2.2</v>
      </c>
      <c r="J13" s="4" t="s">
        <v>119</v>
      </c>
      <c r="K13" s="4" t="s">
        <v>120</v>
      </c>
      <c r="L13" s="4" t="s">
        <v>42</v>
      </c>
      <c r="M13" s="4"/>
    </row>
    <row r="14" customFormat="false" ht="23.85" hidden="false" customHeight="false" outlineLevel="0" collapsed="false">
      <c r="A14" s="5" t="n">
        <v>13</v>
      </c>
      <c r="B14" s="5" t="s">
        <v>36</v>
      </c>
      <c r="C14" s="4" t="s">
        <v>116</v>
      </c>
      <c r="D14" s="5"/>
      <c r="E14" s="4" t="s">
        <v>117</v>
      </c>
      <c r="F14" s="5" t="n">
        <v>18</v>
      </c>
      <c r="G14" s="4" t="s">
        <v>118</v>
      </c>
      <c r="H14" s="5" t="n">
        <v>8</v>
      </c>
      <c r="I14" s="5" t="n">
        <f aca="false">H14-F14</f>
        <v>-10</v>
      </c>
      <c r="J14" s="4" t="s">
        <v>119</v>
      </c>
      <c r="K14" s="4" t="s">
        <v>120</v>
      </c>
      <c r="L14" s="4" t="s">
        <v>42</v>
      </c>
      <c r="M14" s="4"/>
    </row>
    <row r="15" customFormat="false" ht="23.85" hidden="false" customHeight="false" outlineLevel="0" collapsed="false">
      <c r="A15" s="5" t="n">
        <v>14</v>
      </c>
      <c r="B15" s="5" t="s">
        <v>36</v>
      </c>
      <c r="C15" s="4" t="s">
        <v>116</v>
      </c>
      <c r="D15" s="5"/>
      <c r="E15" s="4" t="s">
        <v>117</v>
      </c>
      <c r="F15" s="5" t="n">
        <v>5.3</v>
      </c>
      <c r="G15" s="4" t="s">
        <v>118</v>
      </c>
      <c r="H15" s="5" t="n">
        <v>2</v>
      </c>
      <c r="I15" s="5" t="n">
        <f aca="false">H15-F15</f>
        <v>-3.3</v>
      </c>
      <c r="J15" s="4" t="s">
        <v>119</v>
      </c>
      <c r="K15" s="4" t="s">
        <v>120</v>
      </c>
      <c r="L15" s="4" t="s">
        <v>42</v>
      </c>
      <c r="M15" s="4"/>
    </row>
    <row r="16" customFormat="false" ht="23.85" hidden="false" customHeight="false" outlineLevel="0" collapsed="false">
      <c r="A16" s="5" t="n">
        <v>15</v>
      </c>
      <c r="B16" s="5" t="s">
        <v>36</v>
      </c>
      <c r="C16" s="4" t="s">
        <v>116</v>
      </c>
      <c r="D16" s="5"/>
      <c r="E16" s="4" t="s">
        <v>117</v>
      </c>
      <c r="F16" s="5" t="n">
        <v>9.2</v>
      </c>
      <c r="G16" s="4" t="s">
        <v>118</v>
      </c>
      <c r="H16" s="5" t="n">
        <v>6.6</v>
      </c>
      <c r="I16" s="5" t="n">
        <f aca="false">H16-F16</f>
        <v>-2.6</v>
      </c>
      <c r="J16" s="4" t="s">
        <v>119</v>
      </c>
      <c r="K16" s="4" t="s">
        <v>120</v>
      </c>
      <c r="L16" s="4" t="s">
        <v>42</v>
      </c>
      <c r="M16" s="4"/>
    </row>
    <row r="17" customFormat="false" ht="23.85" hidden="false" customHeight="false" outlineLevel="0" collapsed="false">
      <c r="A17" s="5" t="n">
        <v>16</v>
      </c>
      <c r="B17" s="5" t="s">
        <v>36</v>
      </c>
      <c r="C17" s="4" t="s">
        <v>116</v>
      </c>
      <c r="D17" s="5"/>
      <c r="E17" s="4" t="s">
        <v>117</v>
      </c>
      <c r="F17" s="5" t="n">
        <v>16.2</v>
      </c>
      <c r="G17" s="4" t="s">
        <v>118</v>
      </c>
      <c r="H17" s="5" t="n">
        <v>4.2</v>
      </c>
      <c r="I17" s="5" t="n">
        <f aca="false">H17-F17</f>
        <v>-12</v>
      </c>
      <c r="J17" s="4" t="s">
        <v>119</v>
      </c>
      <c r="K17" s="4" t="s">
        <v>120</v>
      </c>
      <c r="L17" s="4" t="s">
        <v>42</v>
      </c>
      <c r="M17" s="4"/>
    </row>
    <row r="18" customFormat="false" ht="23.85" hidden="false" customHeight="false" outlineLevel="0" collapsed="false">
      <c r="A18" s="5" t="n">
        <v>17</v>
      </c>
      <c r="B18" s="5" t="s">
        <v>36</v>
      </c>
      <c r="C18" s="4" t="s">
        <v>116</v>
      </c>
      <c r="D18" s="5"/>
      <c r="E18" s="4" t="s">
        <v>117</v>
      </c>
      <c r="F18" s="5" t="n">
        <v>9</v>
      </c>
      <c r="G18" s="4" t="s">
        <v>118</v>
      </c>
      <c r="H18" s="5" t="n">
        <v>2.1</v>
      </c>
      <c r="I18" s="5" t="n">
        <f aca="false">H18-F18</f>
        <v>-6.9</v>
      </c>
      <c r="J18" s="4" t="s">
        <v>119</v>
      </c>
      <c r="K18" s="4" t="s">
        <v>120</v>
      </c>
      <c r="L18" s="4" t="s">
        <v>42</v>
      </c>
      <c r="M18" s="4"/>
    </row>
    <row r="19" customFormat="false" ht="23.85" hidden="false" customHeight="false" outlineLevel="0" collapsed="false">
      <c r="A19" s="5" t="n">
        <v>18</v>
      </c>
      <c r="B19" s="5" t="s">
        <v>36</v>
      </c>
      <c r="C19" s="4" t="s">
        <v>116</v>
      </c>
      <c r="D19" s="5"/>
      <c r="E19" s="4" t="s">
        <v>117</v>
      </c>
      <c r="F19" s="5" t="n">
        <v>10.2</v>
      </c>
      <c r="G19" s="4" t="s">
        <v>118</v>
      </c>
      <c r="H19" s="5" t="n">
        <v>3.9</v>
      </c>
      <c r="I19" s="5" t="n">
        <f aca="false">H19-F19</f>
        <v>-6.3</v>
      </c>
      <c r="J19" s="4" t="s">
        <v>119</v>
      </c>
      <c r="K19" s="4" t="s">
        <v>120</v>
      </c>
      <c r="L19" s="4" t="s">
        <v>42</v>
      </c>
      <c r="M19" s="4"/>
    </row>
    <row r="20" customFormat="false" ht="23.85" hidden="false" customHeight="false" outlineLevel="0" collapsed="false">
      <c r="A20" s="5" t="n">
        <v>19</v>
      </c>
      <c r="B20" s="5" t="s">
        <v>36</v>
      </c>
      <c r="C20" s="4" t="s">
        <v>116</v>
      </c>
      <c r="D20" s="5"/>
      <c r="E20" s="4" t="s">
        <v>117</v>
      </c>
      <c r="F20" s="5" t="n">
        <v>13</v>
      </c>
      <c r="G20" s="4" t="s">
        <v>118</v>
      </c>
      <c r="H20" s="5" t="n">
        <v>11.7</v>
      </c>
      <c r="I20" s="5" t="n">
        <f aca="false">H20-F20</f>
        <v>-1.3</v>
      </c>
      <c r="J20" s="4" t="s">
        <v>119</v>
      </c>
      <c r="K20" s="4" t="s">
        <v>120</v>
      </c>
      <c r="L20" s="4" t="s">
        <v>42</v>
      </c>
      <c r="M20" s="4"/>
    </row>
    <row r="21" customFormat="false" ht="23.85" hidden="false" customHeight="false" outlineLevel="0" collapsed="false">
      <c r="A21" s="5" t="n">
        <v>20</v>
      </c>
      <c r="B21" s="5" t="s">
        <v>36</v>
      </c>
      <c r="C21" s="4" t="s">
        <v>116</v>
      </c>
      <c r="D21" s="5"/>
      <c r="E21" s="4" t="s">
        <v>117</v>
      </c>
      <c r="F21" s="5" t="n">
        <v>2.9</v>
      </c>
      <c r="G21" s="4" t="s">
        <v>118</v>
      </c>
      <c r="H21" s="5" t="n">
        <v>0.9</v>
      </c>
      <c r="I21" s="5" t="n">
        <f aca="false">H21-F21</f>
        <v>-2</v>
      </c>
      <c r="J21" s="4" t="s">
        <v>119</v>
      </c>
      <c r="K21" s="4" t="s">
        <v>120</v>
      </c>
      <c r="L21" s="4" t="s">
        <v>42</v>
      </c>
      <c r="M21" s="4"/>
    </row>
    <row r="22" customFormat="false" ht="23.85" hidden="false" customHeight="false" outlineLevel="0" collapsed="false">
      <c r="A22" s="5" t="n">
        <v>21</v>
      </c>
      <c r="B22" s="5" t="s">
        <v>36</v>
      </c>
      <c r="C22" s="4" t="s">
        <v>116</v>
      </c>
      <c r="D22" s="5"/>
      <c r="E22" s="4" t="s">
        <v>117</v>
      </c>
      <c r="F22" s="5" t="n">
        <v>51.2</v>
      </c>
      <c r="G22" s="4" t="s">
        <v>118</v>
      </c>
      <c r="H22" s="5" t="n">
        <v>20.9</v>
      </c>
      <c r="I22" s="5" t="n">
        <f aca="false">H22-F22</f>
        <v>-30.3</v>
      </c>
      <c r="J22" s="4" t="s">
        <v>119</v>
      </c>
      <c r="K22" s="4" t="s">
        <v>120</v>
      </c>
      <c r="L22" s="4" t="s">
        <v>42</v>
      </c>
      <c r="M22" s="4"/>
    </row>
    <row r="23" customFormat="false" ht="23.85" hidden="false" customHeight="false" outlineLevel="0" collapsed="false">
      <c r="A23" s="5" t="n">
        <v>22</v>
      </c>
      <c r="B23" s="5" t="s">
        <v>36</v>
      </c>
      <c r="C23" s="4" t="s">
        <v>116</v>
      </c>
      <c r="D23" s="5"/>
      <c r="E23" s="4" t="s">
        <v>117</v>
      </c>
      <c r="F23" s="5" t="n">
        <v>50.9</v>
      </c>
      <c r="G23" s="4" t="s">
        <v>118</v>
      </c>
      <c r="H23" s="5" t="n">
        <v>28.2</v>
      </c>
      <c r="I23" s="5" t="n">
        <f aca="false">H23-F23</f>
        <v>-22.7</v>
      </c>
      <c r="J23" s="4" t="s">
        <v>119</v>
      </c>
      <c r="K23" s="4" t="s">
        <v>120</v>
      </c>
      <c r="L23" s="4" t="s">
        <v>42</v>
      </c>
      <c r="M23" s="4"/>
    </row>
    <row r="24" customFormat="false" ht="23.85" hidden="false" customHeight="false" outlineLevel="0" collapsed="false">
      <c r="A24" s="5" t="n">
        <v>23</v>
      </c>
      <c r="B24" s="5" t="s">
        <v>36</v>
      </c>
      <c r="C24" s="4" t="s">
        <v>116</v>
      </c>
      <c r="D24" s="5"/>
      <c r="E24" s="4" t="s">
        <v>117</v>
      </c>
      <c r="F24" s="5" t="n">
        <v>5.4</v>
      </c>
      <c r="G24" s="4" t="s">
        <v>118</v>
      </c>
      <c r="H24" s="5" t="n">
        <v>1.4</v>
      </c>
      <c r="I24" s="5" t="n">
        <f aca="false">H24-F24</f>
        <v>-4</v>
      </c>
      <c r="J24" s="4" t="s">
        <v>119</v>
      </c>
      <c r="K24" s="4" t="s">
        <v>120</v>
      </c>
      <c r="L24" s="4" t="s">
        <v>42</v>
      </c>
      <c r="M24" s="4"/>
    </row>
    <row r="25" customFormat="false" ht="23.85" hidden="false" customHeight="false" outlineLevel="0" collapsed="false">
      <c r="A25" s="5" t="n">
        <v>24</v>
      </c>
      <c r="B25" s="5" t="s">
        <v>36</v>
      </c>
      <c r="C25" s="4" t="s">
        <v>116</v>
      </c>
      <c r="D25" s="5"/>
      <c r="E25" s="4" t="s">
        <v>117</v>
      </c>
      <c r="F25" s="5" t="n">
        <v>1.9</v>
      </c>
      <c r="G25" s="4" t="s">
        <v>118</v>
      </c>
      <c r="H25" s="5" t="n">
        <v>0.9</v>
      </c>
      <c r="I25" s="5" t="n">
        <f aca="false">H25-F25</f>
        <v>-1</v>
      </c>
      <c r="J25" s="4" t="s">
        <v>119</v>
      </c>
      <c r="K25" s="4" t="s">
        <v>120</v>
      </c>
      <c r="L25" s="4" t="s">
        <v>42</v>
      </c>
      <c r="M25" s="4"/>
    </row>
    <row r="26" customFormat="false" ht="23.85" hidden="false" customHeight="false" outlineLevel="0" collapsed="false">
      <c r="A26" s="5" t="n">
        <v>25</v>
      </c>
      <c r="B26" s="5" t="s">
        <v>36</v>
      </c>
      <c r="C26" s="4" t="s">
        <v>116</v>
      </c>
      <c r="D26" s="5"/>
      <c r="E26" s="4" t="s">
        <v>117</v>
      </c>
      <c r="F26" s="5" t="n">
        <v>26.9</v>
      </c>
      <c r="G26" s="4" t="s">
        <v>118</v>
      </c>
      <c r="H26" s="5" t="n">
        <v>11</v>
      </c>
      <c r="I26" s="5" t="n">
        <f aca="false">H26-F26</f>
        <v>-15.9</v>
      </c>
      <c r="J26" s="4" t="s">
        <v>119</v>
      </c>
      <c r="K26" s="4" t="s">
        <v>120</v>
      </c>
      <c r="L26" s="4" t="s">
        <v>42</v>
      </c>
      <c r="M26" s="4"/>
    </row>
    <row r="27" customFormat="false" ht="23.85" hidden="false" customHeight="false" outlineLevel="0" collapsed="false">
      <c r="A27" s="5" t="n">
        <v>26</v>
      </c>
      <c r="B27" s="5" t="s">
        <v>36</v>
      </c>
      <c r="C27" s="4" t="s">
        <v>116</v>
      </c>
      <c r="D27" s="5"/>
      <c r="E27" s="4" t="s">
        <v>117</v>
      </c>
      <c r="F27" s="5" t="n">
        <v>6.6</v>
      </c>
      <c r="G27" s="4" t="s">
        <v>118</v>
      </c>
      <c r="H27" s="5" t="n">
        <v>4.7</v>
      </c>
      <c r="I27" s="5" t="n">
        <f aca="false">H27-F27</f>
        <v>-1.9</v>
      </c>
      <c r="J27" s="4" t="s">
        <v>119</v>
      </c>
      <c r="K27" s="4" t="s">
        <v>120</v>
      </c>
      <c r="L27" s="4" t="s">
        <v>42</v>
      </c>
      <c r="M27" s="4"/>
    </row>
    <row r="28" customFormat="false" ht="23.85" hidden="false" customHeight="false" outlineLevel="0" collapsed="false">
      <c r="A28" s="5" t="n">
        <v>27</v>
      </c>
      <c r="B28" s="5" t="s">
        <v>36</v>
      </c>
      <c r="C28" s="4" t="s">
        <v>116</v>
      </c>
      <c r="D28" s="5"/>
      <c r="E28" s="4" t="s">
        <v>117</v>
      </c>
      <c r="F28" s="5" t="n">
        <v>4.2</v>
      </c>
      <c r="G28" s="4" t="s">
        <v>118</v>
      </c>
      <c r="H28" s="5" t="n">
        <v>1.5</v>
      </c>
      <c r="I28" s="5" t="n">
        <f aca="false">H28-F28</f>
        <v>-2.7</v>
      </c>
      <c r="J28" s="4" t="s">
        <v>119</v>
      </c>
      <c r="K28" s="4" t="s">
        <v>120</v>
      </c>
      <c r="L28" s="4" t="s">
        <v>42</v>
      </c>
      <c r="M28" s="4"/>
    </row>
    <row r="29" customFormat="false" ht="23.85" hidden="false" customHeight="false" outlineLevel="0" collapsed="false">
      <c r="A29" s="5" t="n">
        <v>28</v>
      </c>
      <c r="B29" s="5" t="s">
        <v>36</v>
      </c>
      <c r="C29" s="4" t="s">
        <v>116</v>
      </c>
      <c r="D29" s="5"/>
      <c r="E29" s="4" t="s">
        <v>117</v>
      </c>
      <c r="F29" s="5" t="n">
        <v>4.2</v>
      </c>
      <c r="G29" s="4" t="s">
        <v>118</v>
      </c>
      <c r="H29" s="5" t="n">
        <v>2.1</v>
      </c>
      <c r="I29" s="5" t="n">
        <f aca="false">H29-F29</f>
        <v>-2.1</v>
      </c>
      <c r="J29" s="4" t="s">
        <v>119</v>
      </c>
      <c r="K29" s="4" t="s">
        <v>120</v>
      </c>
      <c r="L29" s="4" t="s">
        <v>42</v>
      </c>
      <c r="M29" s="4"/>
    </row>
    <row r="30" customFormat="false" ht="23.85" hidden="false" customHeight="false" outlineLevel="0" collapsed="false">
      <c r="A30" s="5" t="n">
        <v>29</v>
      </c>
      <c r="B30" s="5" t="s">
        <v>36</v>
      </c>
      <c r="C30" s="4" t="s">
        <v>116</v>
      </c>
      <c r="D30" s="5"/>
      <c r="E30" s="4" t="s">
        <v>117</v>
      </c>
      <c r="F30" s="5" t="n">
        <v>10.2</v>
      </c>
      <c r="G30" s="4" t="s">
        <v>118</v>
      </c>
      <c r="H30" s="5" t="n">
        <v>3</v>
      </c>
      <c r="I30" s="5" t="n">
        <f aca="false">H30-F30</f>
        <v>-7.2</v>
      </c>
      <c r="J30" s="4" t="s">
        <v>119</v>
      </c>
      <c r="K30" s="4" t="s">
        <v>120</v>
      </c>
      <c r="L30" s="4" t="s">
        <v>42</v>
      </c>
      <c r="M30" s="4"/>
    </row>
    <row r="31" customFormat="false" ht="23.85" hidden="false" customHeight="false" outlineLevel="0" collapsed="false">
      <c r="A31" s="5" t="n">
        <v>30</v>
      </c>
      <c r="B31" s="5" t="s">
        <v>36</v>
      </c>
      <c r="C31" s="4" t="s">
        <v>116</v>
      </c>
      <c r="D31" s="5"/>
      <c r="E31" s="4" t="s">
        <v>117</v>
      </c>
      <c r="F31" s="5" t="n">
        <v>31.6</v>
      </c>
      <c r="G31" s="4" t="s">
        <v>118</v>
      </c>
      <c r="H31" s="5" t="n">
        <v>19</v>
      </c>
      <c r="I31" s="5" t="n">
        <f aca="false">H31-F31</f>
        <v>-12.6</v>
      </c>
      <c r="J31" s="4" t="s">
        <v>119</v>
      </c>
      <c r="K31" s="4" t="s">
        <v>120</v>
      </c>
      <c r="L31" s="4" t="s">
        <v>42</v>
      </c>
      <c r="M31" s="4"/>
    </row>
    <row r="32" customFormat="false" ht="23.85" hidden="false" customHeight="false" outlineLevel="0" collapsed="false">
      <c r="A32" s="5" t="n">
        <v>31</v>
      </c>
      <c r="B32" s="5" t="s">
        <v>36</v>
      </c>
      <c r="C32" s="4" t="s">
        <v>116</v>
      </c>
      <c r="D32" s="5"/>
      <c r="E32" s="4" t="s">
        <v>117</v>
      </c>
      <c r="F32" s="5" t="n">
        <v>10.8</v>
      </c>
      <c r="G32" s="4" t="s">
        <v>118</v>
      </c>
      <c r="H32" s="5" t="n">
        <v>3.5</v>
      </c>
      <c r="I32" s="5" t="n">
        <f aca="false">H32-F32</f>
        <v>-7.3</v>
      </c>
      <c r="J32" s="4" t="s">
        <v>119</v>
      </c>
      <c r="K32" s="4" t="s">
        <v>120</v>
      </c>
      <c r="L32" s="4" t="s">
        <v>42</v>
      </c>
      <c r="M32" s="4"/>
    </row>
    <row r="33" customFormat="false" ht="23.85" hidden="false" customHeight="false" outlineLevel="0" collapsed="false">
      <c r="A33" s="5" t="n">
        <v>32</v>
      </c>
      <c r="B33" s="5" t="s">
        <v>36</v>
      </c>
      <c r="C33" s="4" t="s">
        <v>116</v>
      </c>
      <c r="D33" s="5"/>
      <c r="E33" s="4" t="s">
        <v>117</v>
      </c>
      <c r="F33" s="5" t="n">
        <v>6.4</v>
      </c>
      <c r="G33" s="4" t="s">
        <v>118</v>
      </c>
      <c r="H33" s="5" t="n">
        <v>2.7</v>
      </c>
      <c r="I33" s="5" t="n">
        <f aca="false">H33-F33</f>
        <v>-3.7</v>
      </c>
      <c r="J33" s="4" t="s">
        <v>119</v>
      </c>
      <c r="K33" s="4" t="s">
        <v>120</v>
      </c>
      <c r="L33" s="4" t="s">
        <v>42</v>
      </c>
      <c r="M33" s="4"/>
    </row>
    <row r="34" customFormat="false" ht="23.85" hidden="false" customHeight="false" outlineLevel="0" collapsed="false">
      <c r="A34" s="5" t="n">
        <v>33</v>
      </c>
      <c r="B34" s="5" t="s">
        <v>36</v>
      </c>
      <c r="C34" s="4" t="s">
        <v>116</v>
      </c>
      <c r="D34" s="5"/>
      <c r="E34" s="4" t="s">
        <v>117</v>
      </c>
      <c r="F34" s="5" t="n">
        <v>2.5</v>
      </c>
      <c r="G34" s="4" t="s">
        <v>118</v>
      </c>
      <c r="H34" s="5" t="n">
        <v>2</v>
      </c>
      <c r="I34" s="5" t="n">
        <f aca="false">H34-F34</f>
        <v>-0.5</v>
      </c>
      <c r="J34" s="4" t="s">
        <v>119</v>
      </c>
      <c r="K34" s="4" t="s">
        <v>120</v>
      </c>
      <c r="L34" s="4" t="s">
        <v>42</v>
      </c>
      <c r="M34" s="4"/>
    </row>
    <row r="35" customFormat="false" ht="23.85" hidden="false" customHeight="false" outlineLevel="0" collapsed="false">
      <c r="A35" s="5" t="n">
        <v>34</v>
      </c>
      <c r="B35" s="5" t="s">
        <v>36</v>
      </c>
      <c r="C35" s="4" t="s">
        <v>116</v>
      </c>
      <c r="D35" s="5"/>
      <c r="E35" s="4" t="s">
        <v>117</v>
      </c>
      <c r="F35" s="5" t="n">
        <v>4.2</v>
      </c>
      <c r="G35" s="4" t="s">
        <v>118</v>
      </c>
      <c r="H35" s="5" t="n">
        <v>1</v>
      </c>
      <c r="I35" s="5" t="n">
        <f aca="false">H35-F35</f>
        <v>-3.2</v>
      </c>
      <c r="J35" s="4" t="s">
        <v>119</v>
      </c>
      <c r="K35" s="4" t="s">
        <v>120</v>
      </c>
      <c r="L35" s="4" t="s">
        <v>42</v>
      </c>
      <c r="M35" s="4"/>
    </row>
    <row r="36" customFormat="false" ht="23.85" hidden="false" customHeight="false" outlineLevel="0" collapsed="false">
      <c r="A36" s="5" t="n">
        <v>35</v>
      </c>
      <c r="B36" s="5" t="s">
        <v>36</v>
      </c>
      <c r="C36" s="4" t="s">
        <v>116</v>
      </c>
      <c r="D36" s="5"/>
      <c r="E36" s="4" t="s">
        <v>117</v>
      </c>
      <c r="F36" s="5" t="n">
        <v>82.7</v>
      </c>
      <c r="G36" s="4" t="s">
        <v>118</v>
      </c>
      <c r="H36" s="5" t="n">
        <v>33.5</v>
      </c>
      <c r="I36" s="5" t="n">
        <f aca="false">H36-F36</f>
        <v>-49.2</v>
      </c>
      <c r="J36" s="4" t="s">
        <v>119</v>
      </c>
      <c r="K36" s="4" t="s">
        <v>120</v>
      </c>
      <c r="L36" s="4" t="s">
        <v>42</v>
      </c>
      <c r="M36" s="4"/>
    </row>
    <row r="37" customFormat="false" ht="23.85" hidden="false" customHeight="false" outlineLevel="0" collapsed="false">
      <c r="A37" s="5" t="n">
        <v>36</v>
      </c>
      <c r="B37" s="5" t="s">
        <v>36</v>
      </c>
      <c r="C37" s="4" t="s">
        <v>116</v>
      </c>
      <c r="D37" s="5"/>
      <c r="E37" s="4" t="s">
        <v>117</v>
      </c>
      <c r="F37" s="5" t="n">
        <v>50.5</v>
      </c>
      <c r="G37" s="4" t="s">
        <v>118</v>
      </c>
      <c r="H37" s="5" t="n">
        <v>15.7</v>
      </c>
      <c r="I37" s="5" t="n">
        <f aca="false">H37-F37</f>
        <v>-34.8</v>
      </c>
      <c r="J37" s="4" t="s">
        <v>119</v>
      </c>
      <c r="K37" s="4" t="s">
        <v>120</v>
      </c>
      <c r="L37" s="4" t="s">
        <v>42</v>
      </c>
      <c r="M37" s="4"/>
    </row>
    <row r="38" customFormat="false" ht="23.85" hidden="false" customHeight="false" outlineLevel="0" collapsed="false">
      <c r="A38" s="5" t="n">
        <v>37</v>
      </c>
      <c r="B38" s="5" t="s">
        <v>36</v>
      </c>
      <c r="C38" s="4" t="s">
        <v>116</v>
      </c>
      <c r="D38" s="5"/>
      <c r="E38" s="4" t="s">
        <v>117</v>
      </c>
      <c r="F38" s="5" t="n">
        <v>73.4</v>
      </c>
      <c r="G38" s="4" t="s">
        <v>118</v>
      </c>
      <c r="H38" s="5" t="n">
        <v>26.4</v>
      </c>
      <c r="I38" s="5" t="n">
        <f aca="false">H38-F38</f>
        <v>-47</v>
      </c>
      <c r="J38" s="4" t="s">
        <v>119</v>
      </c>
      <c r="K38" s="4" t="s">
        <v>120</v>
      </c>
      <c r="L38" s="4" t="s">
        <v>42</v>
      </c>
      <c r="M38" s="4"/>
    </row>
    <row r="39" customFormat="false" ht="23.85" hidden="false" customHeight="false" outlineLevel="0" collapsed="false">
      <c r="A39" s="5" t="n">
        <v>38</v>
      </c>
      <c r="B39" s="5" t="s">
        <v>36</v>
      </c>
      <c r="C39" s="4" t="s">
        <v>116</v>
      </c>
      <c r="D39" s="5"/>
      <c r="E39" s="4" t="s">
        <v>117</v>
      </c>
      <c r="F39" s="5" t="n">
        <v>4.7</v>
      </c>
      <c r="G39" s="4" t="s">
        <v>118</v>
      </c>
      <c r="H39" s="5" t="n">
        <v>2.9</v>
      </c>
      <c r="I39" s="5" t="n">
        <f aca="false">H39-F39</f>
        <v>-1.8</v>
      </c>
      <c r="J39" s="4" t="s">
        <v>119</v>
      </c>
      <c r="K39" s="4" t="s">
        <v>120</v>
      </c>
      <c r="L39" s="4" t="s">
        <v>42</v>
      </c>
      <c r="M39" s="4"/>
    </row>
    <row r="40" customFormat="false" ht="23.85" hidden="false" customHeight="false" outlineLevel="0" collapsed="false">
      <c r="A40" s="5" t="n">
        <v>39</v>
      </c>
      <c r="B40" s="5" t="s">
        <v>36</v>
      </c>
      <c r="C40" s="4" t="s">
        <v>116</v>
      </c>
      <c r="D40" s="5"/>
      <c r="E40" s="4" t="s">
        <v>117</v>
      </c>
      <c r="F40" s="5" t="n">
        <v>2.2</v>
      </c>
      <c r="G40" s="4" t="s">
        <v>118</v>
      </c>
      <c r="H40" s="5" t="n">
        <v>1.3</v>
      </c>
      <c r="I40" s="5" t="n">
        <f aca="false">H40-F40</f>
        <v>-0.9</v>
      </c>
      <c r="J40" s="4" t="s">
        <v>119</v>
      </c>
      <c r="K40" s="4" t="s">
        <v>120</v>
      </c>
      <c r="L40" s="4" t="s">
        <v>42</v>
      </c>
      <c r="M40" s="4"/>
    </row>
    <row r="41" customFormat="false" ht="23.85" hidden="false" customHeight="false" outlineLevel="0" collapsed="false">
      <c r="A41" s="5" t="n">
        <v>40</v>
      </c>
      <c r="B41" s="5" t="s">
        <v>36</v>
      </c>
      <c r="C41" s="4" t="s">
        <v>116</v>
      </c>
      <c r="D41" s="5"/>
      <c r="E41" s="4" t="s">
        <v>117</v>
      </c>
      <c r="F41" s="5" t="n">
        <v>50.8</v>
      </c>
      <c r="G41" s="4" t="s">
        <v>118</v>
      </c>
      <c r="H41" s="5" t="n">
        <v>28.3</v>
      </c>
      <c r="I41" s="5" t="n">
        <f aca="false">H41-F41</f>
        <v>-22.5</v>
      </c>
      <c r="J41" s="4" t="s">
        <v>119</v>
      </c>
      <c r="K41" s="4" t="s">
        <v>120</v>
      </c>
      <c r="L41" s="4" t="s">
        <v>42</v>
      </c>
      <c r="M41" s="4"/>
    </row>
    <row r="42" customFormat="false" ht="23.85" hidden="false" customHeight="false" outlineLevel="0" collapsed="false">
      <c r="A42" s="5" t="n">
        <v>41</v>
      </c>
      <c r="B42" s="5" t="s">
        <v>36</v>
      </c>
      <c r="C42" s="4" t="s">
        <v>116</v>
      </c>
      <c r="D42" s="5"/>
      <c r="E42" s="4" t="s">
        <v>117</v>
      </c>
      <c r="F42" s="5" t="n">
        <v>7.8</v>
      </c>
      <c r="G42" s="4" t="s">
        <v>118</v>
      </c>
      <c r="H42" s="5" t="n">
        <v>4.4</v>
      </c>
      <c r="I42" s="5" t="n">
        <f aca="false">H42-F42</f>
        <v>-3.4</v>
      </c>
      <c r="J42" s="4" t="s">
        <v>119</v>
      </c>
      <c r="K42" s="4" t="s">
        <v>120</v>
      </c>
      <c r="L42" s="4" t="s">
        <v>42</v>
      </c>
      <c r="M42" s="4"/>
    </row>
    <row r="43" customFormat="false" ht="23.85" hidden="false" customHeight="false" outlineLevel="0" collapsed="false">
      <c r="A43" s="5" t="n">
        <v>42</v>
      </c>
      <c r="B43" s="5" t="s">
        <v>36</v>
      </c>
      <c r="C43" s="4" t="s">
        <v>116</v>
      </c>
      <c r="D43" s="5"/>
      <c r="E43" s="4" t="s">
        <v>117</v>
      </c>
      <c r="F43" s="5" t="n">
        <v>14.7</v>
      </c>
      <c r="G43" s="4" t="s">
        <v>118</v>
      </c>
      <c r="H43" s="5" t="n">
        <v>8.9</v>
      </c>
      <c r="I43" s="5" t="n">
        <f aca="false">H43-F43</f>
        <v>-5.8</v>
      </c>
      <c r="J43" s="4" t="s">
        <v>119</v>
      </c>
      <c r="K43" s="4" t="s">
        <v>120</v>
      </c>
      <c r="L43" s="4" t="s">
        <v>42</v>
      </c>
      <c r="M43" s="4"/>
    </row>
    <row r="44" customFormat="false" ht="23.85" hidden="false" customHeight="false" outlineLevel="0" collapsed="false">
      <c r="A44" s="5" t="n">
        <v>43</v>
      </c>
      <c r="B44" s="5" t="s">
        <v>36</v>
      </c>
      <c r="C44" s="4" t="s">
        <v>116</v>
      </c>
      <c r="D44" s="5"/>
      <c r="E44" s="4" t="s">
        <v>117</v>
      </c>
      <c r="F44" s="5" t="n">
        <v>11.6</v>
      </c>
      <c r="G44" s="4" t="s">
        <v>118</v>
      </c>
      <c r="H44" s="5" t="n">
        <v>6.3</v>
      </c>
      <c r="I44" s="5" t="n">
        <f aca="false">H44-F44</f>
        <v>-5.3</v>
      </c>
      <c r="J44" s="4" t="s">
        <v>119</v>
      </c>
      <c r="K44" s="4" t="s">
        <v>120</v>
      </c>
      <c r="L44" s="4" t="s">
        <v>42</v>
      </c>
      <c r="M44" s="4"/>
    </row>
    <row r="45" customFormat="false" ht="23.85" hidden="false" customHeight="false" outlineLevel="0" collapsed="false">
      <c r="A45" s="5" t="n">
        <v>44</v>
      </c>
      <c r="B45" s="5" t="s">
        <v>36</v>
      </c>
      <c r="C45" s="4" t="s">
        <v>116</v>
      </c>
      <c r="D45" s="5"/>
      <c r="E45" s="4" t="s">
        <v>117</v>
      </c>
      <c r="F45" s="5" t="n">
        <v>5.7</v>
      </c>
      <c r="G45" s="4" t="s">
        <v>118</v>
      </c>
      <c r="H45" s="5" t="n">
        <v>3.5</v>
      </c>
      <c r="I45" s="5" t="n">
        <f aca="false">H45-F45</f>
        <v>-2.2</v>
      </c>
      <c r="J45" s="4" t="s">
        <v>119</v>
      </c>
      <c r="K45" s="4" t="s">
        <v>120</v>
      </c>
      <c r="L45" s="4" t="s">
        <v>42</v>
      </c>
      <c r="M45" s="4"/>
    </row>
    <row r="46" customFormat="false" ht="23.85" hidden="false" customHeight="false" outlineLevel="0" collapsed="false">
      <c r="A46" s="5" t="n">
        <v>45</v>
      </c>
      <c r="B46" s="5" t="s">
        <v>36</v>
      </c>
      <c r="C46" s="4" t="s">
        <v>116</v>
      </c>
      <c r="D46" s="5"/>
      <c r="E46" s="4" t="s">
        <v>117</v>
      </c>
      <c r="F46" s="5" t="n">
        <v>19.9</v>
      </c>
      <c r="G46" s="4" t="s">
        <v>118</v>
      </c>
      <c r="H46" s="5" t="n">
        <v>10.4</v>
      </c>
      <c r="I46" s="5" t="n">
        <f aca="false">H46-F46</f>
        <v>-9.5</v>
      </c>
      <c r="J46" s="4" t="s">
        <v>119</v>
      </c>
      <c r="K46" s="4" t="s">
        <v>120</v>
      </c>
      <c r="L46" s="4" t="s">
        <v>42</v>
      </c>
      <c r="M46" s="4"/>
    </row>
    <row r="47" customFormat="false" ht="23.85" hidden="false" customHeight="false" outlineLevel="0" collapsed="false">
      <c r="A47" s="5" t="n">
        <v>46</v>
      </c>
      <c r="B47" s="5" t="s">
        <v>36</v>
      </c>
      <c r="C47" s="4" t="s">
        <v>116</v>
      </c>
      <c r="D47" s="5"/>
      <c r="E47" s="4" t="s">
        <v>117</v>
      </c>
      <c r="F47" s="5" t="n">
        <v>33.2</v>
      </c>
      <c r="G47" s="4" t="s">
        <v>118</v>
      </c>
      <c r="H47" s="5" t="n">
        <v>15.5</v>
      </c>
      <c r="I47" s="5" t="n">
        <f aca="false">H47-F47</f>
        <v>-17.7</v>
      </c>
      <c r="J47" s="4" t="s">
        <v>119</v>
      </c>
      <c r="K47" s="4" t="s">
        <v>120</v>
      </c>
      <c r="L47" s="4" t="s">
        <v>42</v>
      </c>
      <c r="M47" s="4"/>
    </row>
    <row r="48" customFormat="false" ht="23.85" hidden="false" customHeight="false" outlineLevel="0" collapsed="false">
      <c r="A48" s="5" t="n">
        <v>47</v>
      </c>
      <c r="B48" s="5" t="s">
        <v>36</v>
      </c>
      <c r="C48" s="4" t="s">
        <v>116</v>
      </c>
      <c r="D48" s="5"/>
      <c r="E48" s="4" t="s">
        <v>117</v>
      </c>
      <c r="F48" s="5" t="n">
        <v>4.7</v>
      </c>
      <c r="G48" s="4" t="s">
        <v>118</v>
      </c>
      <c r="H48" s="5" t="n">
        <v>2.1</v>
      </c>
      <c r="I48" s="5" t="n">
        <f aca="false">H48-F48</f>
        <v>-2.6</v>
      </c>
      <c r="J48" s="4" t="s">
        <v>119</v>
      </c>
      <c r="K48" s="4" t="s">
        <v>120</v>
      </c>
      <c r="L48" s="4" t="s">
        <v>42</v>
      </c>
      <c r="M48" s="4"/>
    </row>
    <row r="49" customFormat="false" ht="23.85" hidden="false" customHeight="false" outlineLevel="0" collapsed="false">
      <c r="A49" s="5" t="n">
        <v>48</v>
      </c>
      <c r="B49" s="5" t="s">
        <v>36</v>
      </c>
      <c r="C49" s="4" t="s">
        <v>116</v>
      </c>
      <c r="D49" s="5"/>
      <c r="E49" s="4" t="s">
        <v>117</v>
      </c>
      <c r="F49" s="5" t="n">
        <v>5.9</v>
      </c>
      <c r="G49" s="4" t="s">
        <v>118</v>
      </c>
      <c r="H49" s="5" t="n">
        <v>3.6</v>
      </c>
      <c r="I49" s="5" t="n">
        <f aca="false">H49-F49</f>
        <v>-2.3</v>
      </c>
      <c r="J49" s="4" t="s">
        <v>119</v>
      </c>
      <c r="K49" s="4" t="s">
        <v>120</v>
      </c>
      <c r="L49" s="4" t="s">
        <v>42</v>
      </c>
      <c r="M4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8"/>
    <col collapsed="false" customWidth="true" hidden="false" outlineLevel="0" max="10" min="3" style="0" width="15"/>
  </cols>
  <sheetData>
    <row r="1" customFormat="false" ht="15" hidden="false" customHeight="false" outlineLevel="0" collapsed="false">
      <c r="A1" s="3" t="s">
        <v>63</v>
      </c>
      <c r="B1" s="3" t="s">
        <v>64</v>
      </c>
    </row>
    <row r="2" customFormat="false" ht="15" hidden="false" customHeight="false" outlineLevel="0" collapsed="false">
      <c r="A2" s="6" t="s">
        <v>14</v>
      </c>
      <c r="B2" s="4" t="s">
        <v>36</v>
      </c>
    </row>
    <row r="3" customFormat="false" ht="23.85" hidden="false" customHeight="false" outlineLevel="0" collapsed="false">
      <c r="A3" s="6" t="s">
        <v>65</v>
      </c>
      <c r="B3" s="4" t="s">
        <v>121</v>
      </c>
    </row>
    <row r="4" customFormat="false" ht="15" hidden="false" customHeight="false" outlineLevel="0" collapsed="false">
      <c r="A4" s="6" t="s">
        <v>67</v>
      </c>
      <c r="B4" s="4" t="s">
        <v>122</v>
      </c>
    </row>
    <row r="5" customFormat="false" ht="23.85" hidden="false" customHeight="false" outlineLevel="0" collapsed="false">
      <c r="A5" s="6" t="s">
        <v>69</v>
      </c>
      <c r="B5" s="4" t="s">
        <v>123</v>
      </c>
    </row>
    <row r="6" customFormat="false" ht="15" hidden="false" customHeight="false" outlineLevel="0" collapsed="false">
      <c r="A6" s="6" t="s">
        <v>16</v>
      </c>
      <c r="B6" s="4" t="s">
        <v>38</v>
      </c>
    </row>
    <row r="7" customFormat="false" ht="15" hidden="false" customHeight="false" outlineLevel="0" collapsed="false">
      <c r="A7" s="6" t="s">
        <v>71</v>
      </c>
      <c r="B7" s="4" t="s">
        <v>124</v>
      </c>
    </row>
    <row r="8" customFormat="false" ht="15" hidden="false" customHeight="false" outlineLevel="0" collapsed="false">
      <c r="A8" s="6" t="s">
        <v>73</v>
      </c>
      <c r="B8" s="4" t="s">
        <v>125</v>
      </c>
    </row>
    <row r="9" customFormat="false" ht="15" hidden="false" customHeight="false" outlineLevel="0" collapsed="false">
      <c r="A9" s="6" t="s">
        <v>75</v>
      </c>
      <c r="B9" s="4" t="s">
        <v>126</v>
      </c>
    </row>
    <row r="10" customFormat="false" ht="15" hidden="false" customHeight="false" outlineLevel="0" collapsed="false">
      <c r="A10" s="6" t="s">
        <v>17</v>
      </c>
      <c r="B10" s="4" t="s">
        <v>39</v>
      </c>
    </row>
    <row r="11" customFormat="false" ht="15" hidden="false" customHeight="false" outlineLevel="0" collapsed="false">
      <c r="A11" s="6" t="s">
        <v>77</v>
      </c>
      <c r="B11" s="4" t="s">
        <v>127</v>
      </c>
    </row>
    <row r="12" customFormat="false" ht="23.85" hidden="false" customHeight="false" outlineLevel="0" collapsed="false">
      <c r="A12" s="6" t="s">
        <v>79</v>
      </c>
      <c r="B12" s="4" t="s">
        <v>128</v>
      </c>
    </row>
    <row r="13" customFormat="false" ht="15" hidden="false" customHeight="false" outlineLevel="0" collapsed="false">
      <c r="A13" s="6" t="s">
        <v>81</v>
      </c>
      <c r="B13" s="4" t="s">
        <v>129</v>
      </c>
    </row>
    <row r="14" customFormat="false" ht="15" hidden="false" customHeight="false" outlineLevel="0" collapsed="false">
      <c r="A14" s="6" t="s">
        <v>83</v>
      </c>
      <c r="B14" s="4" t="s">
        <v>130</v>
      </c>
    </row>
    <row r="15" customFormat="false" ht="15" hidden="false" customHeight="false" outlineLevel="0" collapsed="false">
      <c r="A15" s="6" t="s">
        <v>85</v>
      </c>
      <c r="B15" s="4" t="s">
        <v>116</v>
      </c>
    </row>
    <row r="16" customFormat="false" ht="15" hidden="false" customHeight="false" outlineLevel="0" collapsed="false">
      <c r="A16" s="6" t="s">
        <v>87</v>
      </c>
      <c r="B16" s="4" t="s">
        <v>131</v>
      </c>
    </row>
    <row r="17" customFormat="false" ht="15" hidden="false" customHeight="false" outlineLevel="0" collapsed="false">
      <c r="A17" s="6" t="s">
        <v>89</v>
      </c>
      <c r="B17" s="4" t="s">
        <v>40</v>
      </c>
    </row>
    <row r="18" customFormat="false" ht="23.85" hidden="false" customHeight="false" outlineLevel="0" collapsed="false">
      <c r="A18" s="6" t="s">
        <v>91</v>
      </c>
      <c r="B18" s="4" t="s">
        <v>132</v>
      </c>
    </row>
    <row r="19" customFormat="false" ht="15" hidden="false" customHeight="false" outlineLevel="0" collapsed="false">
      <c r="A19" s="6" t="s">
        <v>20</v>
      </c>
      <c r="B19" s="4" t="s">
        <v>42</v>
      </c>
    </row>
    <row r="20" customFormat="false" ht="35.05" hidden="false" customHeight="false" outlineLevel="0" collapsed="false">
      <c r="A20" s="6" t="s">
        <v>93</v>
      </c>
      <c r="B20" s="4" t="s">
        <v>133</v>
      </c>
    </row>
    <row r="21" customFormat="false" ht="15" hidden="false" customHeight="false" outlineLevel="0" collapsed="false">
      <c r="A21" s="6" t="s">
        <v>95</v>
      </c>
      <c r="B21" s="4" t="s">
        <v>134</v>
      </c>
    </row>
    <row r="22" customFormat="false" ht="35.05" hidden="false" customHeight="false" outlineLevel="0" collapsed="false">
      <c r="A22" s="6" t="s">
        <v>97</v>
      </c>
      <c r="B22" s="4" t="s">
        <v>135</v>
      </c>
    </row>
    <row r="24" customFormat="false" ht="15" hidden="false" customHeight="false" outlineLevel="0" collapsed="false">
      <c r="A24" s="7" t="s">
        <v>99</v>
      </c>
    </row>
    <row r="25" customFormat="false" ht="15" hidden="false" customHeight="false" outlineLevel="0" collapsed="false">
      <c r="A25" s="6" t="s">
        <v>119</v>
      </c>
      <c r="B25" s="4" t="s">
        <v>136</v>
      </c>
    </row>
    <row r="27" customFormat="false" ht="15" hidden="false" customHeight="false" outlineLevel="0" collapsed="false">
      <c r="A27" s="7" t="s">
        <v>102</v>
      </c>
    </row>
    <row r="28" customFormat="false" ht="23.85" hidden="false" customHeight="false" outlineLevel="0" collapsed="false">
      <c r="A28" s="8" t="s">
        <v>53</v>
      </c>
      <c r="B28" s="8" t="s">
        <v>103</v>
      </c>
      <c r="C28" s="8" t="s">
        <v>104</v>
      </c>
      <c r="D28" s="8" t="s">
        <v>105</v>
      </c>
      <c r="E28" s="8" t="s">
        <v>106</v>
      </c>
      <c r="F28" s="8" t="s">
        <v>107</v>
      </c>
      <c r="G28" s="8" t="s">
        <v>108</v>
      </c>
      <c r="H28" s="8" t="s">
        <v>109</v>
      </c>
      <c r="I28" s="8" t="s">
        <v>110</v>
      </c>
      <c r="J28" s="8" t="s">
        <v>111</v>
      </c>
    </row>
    <row r="29" customFormat="false" ht="15" hidden="false" customHeight="false" outlineLevel="0" collapsed="false">
      <c r="A29" s="5" t="s">
        <v>119</v>
      </c>
      <c r="B29" s="5" t="n">
        <v>-5.52</v>
      </c>
      <c r="C29" s="5" t="n">
        <v>47</v>
      </c>
      <c r="D29" s="5" t="s">
        <v>112</v>
      </c>
      <c r="E29" s="5" t="s">
        <v>113</v>
      </c>
      <c r="F29" s="5" t="n">
        <f aca="false">AVERAGE(dados_02_metano!I2:I49)/(STDEV(dados_02_metano!I2:I49)/SQRT(COUNT(dados_02_metano!I2:I49)))</f>
        <v>-5.51909559570924</v>
      </c>
      <c r="G29" s="5" t="n">
        <f aca="false">COUNT(dados_02_metano!I2:I49)-1</f>
        <v>47</v>
      </c>
      <c r="H29" s="5" t="n">
        <f aca="false">TDIST(ABS(F29),G29,2)</f>
        <v>1.42693623023589E-006</v>
      </c>
      <c r="I29" s="5" t="str">
        <f aca="false">IF(H29&lt;0.05,"significativo","nao significativo")</f>
        <v>significativo</v>
      </c>
      <c r="J29" s="5" t="str">
        <f aca="false">IF(E29=I29,"Sim","NAO")</f>
        <v>Sim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2026-06-13T01:13:35Z</dcterms:created>
  <dc:creator>openpyxl</dc:creator>
  <dc:description/>
  <dc:language>en-US</dc:language>
  <cp:lastModifiedBy/>
  <dcterms:modified xsi:type="dcterms:W3CDTF">2026-06-13T01:13:35Z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