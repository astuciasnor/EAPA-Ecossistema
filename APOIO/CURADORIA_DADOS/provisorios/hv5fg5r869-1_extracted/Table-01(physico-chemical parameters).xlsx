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Masters Aquaculture\Journal papers for thesis kafia\Data sheets Thesis work\Excel data sheets KAFIA thesis\Final data sheets KAFIA\KAFIA data in brief\Data in brief final\Data in brief all excel sheets\"/>
    </mc:Choice>
  </mc:AlternateContent>
  <xr:revisionPtr revIDLastSave="0" documentId="13_ncr:1_{63F94F2F-2C2A-401A-9955-7CCF9B17BD45}" xr6:coauthVersionLast="46" xr6:coauthVersionMax="46" xr10:uidLastSave="{00000000-0000-0000-0000-000000000000}"/>
  <bookViews>
    <workbookView xWindow="-120" yWindow="-120" windowWidth="20730" windowHeight="10545" xr2:uid="{00000000-000D-0000-FFFF-FFFF00000000}"/>
  </bookViews>
  <sheets>
    <sheet name="Data of water quality parameter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2" l="1"/>
  <c r="H32" i="2"/>
  <c r="G32" i="2"/>
  <c r="F32" i="2"/>
  <c r="E32" i="2"/>
  <c r="D32" i="2"/>
  <c r="I31" i="2"/>
  <c r="H31" i="2"/>
  <c r="G31" i="2"/>
  <c r="F31" i="2"/>
  <c r="E31" i="2"/>
  <c r="D31" i="2"/>
  <c r="I26" i="2"/>
  <c r="H26" i="2"/>
  <c r="G26" i="2"/>
  <c r="F26" i="2"/>
  <c r="E26" i="2"/>
  <c r="D26" i="2"/>
  <c r="I25" i="2"/>
  <c r="H25" i="2"/>
  <c r="G25" i="2"/>
  <c r="F25" i="2"/>
  <c r="E25" i="2"/>
  <c r="D25" i="2"/>
  <c r="I21" i="2"/>
  <c r="H21" i="2"/>
  <c r="G21" i="2"/>
  <c r="F21" i="2"/>
  <c r="E21" i="2"/>
  <c r="D21" i="2"/>
  <c r="I20" i="2"/>
  <c r="H20" i="2"/>
  <c r="G20" i="2"/>
  <c r="F20" i="2"/>
  <c r="E20" i="2"/>
  <c r="D20" i="2"/>
  <c r="I15" i="2"/>
  <c r="H15" i="2"/>
  <c r="G15" i="2"/>
  <c r="F15" i="2"/>
  <c r="E15" i="2"/>
  <c r="D15" i="2"/>
  <c r="I14" i="2"/>
  <c r="H14" i="2"/>
  <c r="G14" i="2"/>
  <c r="F14" i="2"/>
  <c r="E14" i="2"/>
  <c r="D14" i="2"/>
  <c r="I10" i="2"/>
  <c r="H10" i="2"/>
  <c r="G10" i="2"/>
  <c r="F10" i="2"/>
  <c r="E10" i="2"/>
  <c r="D10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<sst xmlns="http://schemas.openxmlformats.org/spreadsheetml/2006/main" count="41" uniqueCount="29">
  <si>
    <t>Average</t>
  </si>
  <si>
    <t>SI No.</t>
  </si>
  <si>
    <t xml:space="preserve">Treatment </t>
  </si>
  <si>
    <t>Temperature</t>
  </si>
  <si>
    <t xml:space="preserve">DO </t>
  </si>
  <si>
    <t>pH</t>
  </si>
  <si>
    <t>TAN</t>
  </si>
  <si>
    <t>NO2-N</t>
  </si>
  <si>
    <t>SRP</t>
  </si>
  <si>
    <r>
      <t>0</t>
    </r>
    <r>
      <rPr>
        <b/>
        <sz val="14"/>
        <color theme="1"/>
        <rFont val="Times New Roman"/>
        <family val="1"/>
      </rPr>
      <t>C</t>
    </r>
  </si>
  <si>
    <t>(mg/L)</t>
  </si>
  <si>
    <t>N25R1</t>
  </si>
  <si>
    <t>N25R2</t>
  </si>
  <si>
    <t>N25R3</t>
  </si>
  <si>
    <t>SE</t>
  </si>
  <si>
    <t>N50R1</t>
  </si>
  <si>
    <t>N50R2</t>
  </si>
  <si>
    <t>N50R3</t>
  </si>
  <si>
    <t>Tetraselmis chuii</t>
  </si>
  <si>
    <t>T25R1</t>
  </si>
  <si>
    <t>T25R2</t>
  </si>
  <si>
    <t>T25R3</t>
  </si>
  <si>
    <t>T50R1</t>
  </si>
  <si>
    <t>T50R2</t>
  </si>
  <si>
    <t>T50R3</t>
  </si>
  <si>
    <t>Control</t>
  </si>
  <si>
    <t>CR1</t>
  </si>
  <si>
    <t>CR2</t>
  </si>
  <si>
    <t>CR3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</si>
</sst>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b/>
      <vertAlign val="superscript"/>
      <sz val="24"/>
      <color theme="1"/>
      <name val="Times New Roman"/>
      <family val="1"/>
    </font>
    <font>
      <b/>
      <i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7EDE-DFDD-432D-A1C8-BA2AE660DC68}">
  <dimension ref="B2:I32"/>
  <sheetViews>
    <sheetView tabSelected="1" topLeftCell="A4" zoomScale="90" zoomScaleNormal="90" workbookViewId="0">
      <selection activeCell="D6" sqref="D6"/>
    </sheetView>
  </sheetViews>
  <sheetFormatPr defaultColWidth="9.140625" defaultRowHeight="18.75" x14ac:dyDescent="0.3"/>
  <cols>
    <col min="1" max="2" width="9.140625" style="1"/>
    <col min="3" max="3" width="18.7109375" style="1" customWidth="1"/>
    <col min="4" max="4" width="22.5703125" style="1" customWidth="1"/>
    <col min="5" max="5" width="17.85546875" style="1" customWidth="1"/>
    <col min="6" max="6" width="13" style="1" customWidth="1"/>
    <col min="7" max="7" width="15.42578125" style="1" customWidth="1"/>
    <col min="8" max="8" width="16.5703125" style="1" customWidth="1"/>
    <col min="9" max="9" width="13.85546875" style="1" customWidth="1"/>
    <col min="10" max="16384" width="9.140625" style="1"/>
  </cols>
  <sheetData>
    <row r="2" spans="2:9" x14ac:dyDescent="0.3">
      <c r="D2" s="2" t="s">
        <v>0</v>
      </c>
    </row>
    <row r="4" spans="2:9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2:9" ht="34.5" x14ac:dyDescent="0.3">
      <c r="B5" s="3"/>
      <c r="C5" s="2"/>
      <c r="D5" s="4" t="s">
        <v>9</v>
      </c>
      <c r="E5" s="5" t="s">
        <v>10</v>
      </c>
      <c r="F5" s="6"/>
      <c r="G5" s="5" t="s">
        <v>10</v>
      </c>
      <c r="H5" s="5" t="s">
        <v>10</v>
      </c>
      <c r="I5" s="5" t="s">
        <v>10</v>
      </c>
    </row>
    <row r="6" spans="2:9" x14ac:dyDescent="0.3">
      <c r="B6" s="7">
        <v>1</v>
      </c>
      <c r="C6" s="8" t="s">
        <v>11</v>
      </c>
      <c r="D6" s="7">
        <v>27.805357142857154</v>
      </c>
      <c r="E6" s="7">
        <v>6.4888888888888898</v>
      </c>
      <c r="F6" s="7">
        <v>8.5785714285714274</v>
      </c>
      <c r="G6" s="7">
        <v>0.54325000000000001</v>
      </c>
      <c r="H6" s="7">
        <v>0.44312499999999999</v>
      </c>
      <c r="I6" s="7">
        <v>0.10475</v>
      </c>
    </row>
    <row r="7" spans="2:9" x14ac:dyDescent="0.3">
      <c r="B7" s="7">
        <v>2</v>
      </c>
      <c r="C7" s="8" t="s">
        <v>12</v>
      </c>
      <c r="D7" s="7">
        <v>27.485714285714284</v>
      </c>
      <c r="E7" s="7">
        <v>6.7055555555555548</v>
      </c>
      <c r="F7" s="7">
        <v>8.5517857142857121</v>
      </c>
      <c r="G7" s="7">
        <v>0.54412499999999997</v>
      </c>
      <c r="H7" s="7">
        <v>0.43275000000000002</v>
      </c>
      <c r="I7" s="7">
        <v>0.10300000000000001</v>
      </c>
    </row>
    <row r="8" spans="2:9" x14ac:dyDescent="0.3">
      <c r="B8" s="7">
        <v>3</v>
      </c>
      <c r="C8" s="8" t="s">
        <v>13</v>
      </c>
      <c r="D8" s="7">
        <v>27.666071428571424</v>
      </c>
      <c r="E8" s="7">
        <v>6.5666666666666673</v>
      </c>
      <c r="F8" s="7">
        <v>8.3928571428571423</v>
      </c>
      <c r="G8" s="7">
        <v>0.53925000000000001</v>
      </c>
      <c r="H8" s="7">
        <v>0.44537500000000002</v>
      </c>
      <c r="I8" s="7">
        <v>0.10324999999999999</v>
      </c>
    </row>
    <row r="9" spans="2:9" x14ac:dyDescent="0.3">
      <c r="B9" s="3"/>
      <c r="C9" s="2" t="s">
        <v>0</v>
      </c>
      <c r="D9" s="3">
        <f>AVERAGE(D6:D8)</f>
        <v>27.652380952380955</v>
      </c>
      <c r="E9" s="3">
        <f t="shared" ref="E9:I9" si="0">AVERAGE(E6:E8)</f>
        <v>6.5870370370370379</v>
      </c>
      <c r="F9" s="3">
        <f t="shared" si="0"/>
        <v>8.5077380952380945</v>
      </c>
      <c r="G9" s="3">
        <f t="shared" si="0"/>
        <v>0.54220833333333329</v>
      </c>
      <c r="H9" s="3">
        <f t="shared" si="0"/>
        <v>0.44041666666666668</v>
      </c>
      <c r="I9" s="3">
        <f t="shared" si="0"/>
        <v>0.10366666666666667</v>
      </c>
    </row>
    <row r="10" spans="2:9" x14ac:dyDescent="0.3">
      <c r="B10" s="9"/>
      <c r="C10" s="10" t="s">
        <v>14</v>
      </c>
      <c r="D10" s="9">
        <f>_xlfn.STDEV.S(D6:D8)/(SQRT(COUNTA(D6:D8)))</f>
        <v>9.2526502301333011E-2</v>
      </c>
      <c r="E10" s="9">
        <f t="shared" ref="E10:I10" si="1">_xlfn.STDEV.S(E6:E8)/(SQRT(COUNTA(E6:E8)))</f>
        <v>6.3370143082476071E-2</v>
      </c>
      <c r="F10" s="9">
        <f t="shared" si="1"/>
        <v>5.7958587334448967E-2</v>
      </c>
      <c r="G10" s="9">
        <f t="shared" si="1"/>
        <v>1.5005785921140848E-3</v>
      </c>
      <c r="H10" s="9">
        <f t="shared" si="1"/>
        <v>3.8879711218634859E-3</v>
      </c>
      <c r="I10" s="9">
        <f t="shared" si="1"/>
        <v>5.4645321035849779E-4</v>
      </c>
    </row>
    <row r="11" spans="2:9" x14ac:dyDescent="0.3">
      <c r="B11" s="7">
        <v>4</v>
      </c>
      <c r="C11" s="8" t="s">
        <v>15</v>
      </c>
      <c r="D11" s="7">
        <v>27.76071428571429</v>
      </c>
      <c r="E11" s="7">
        <v>6.6555555555555559</v>
      </c>
      <c r="F11" s="7">
        <v>8.5321428571428584</v>
      </c>
      <c r="G11" s="7">
        <v>0.59562500000000007</v>
      </c>
      <c r="H11" s="7">
        <v>0.47362500000000002</v>
      </c>
      <c r="I11" s="7">
        <v>0.136625</v>
      </c>
    </row>
    <row r="12" spans="2:9" x14ac:dyDescent="0.3">
      <c r="B12" s="7">
        <v>5</v>
      </c>
      <c r="C12" s="8" t="s">
        <v>16</v>
      </c>
      <c r="D12" s="7">
        <v>27.457142857142863</v>
      </c>
      <c r="E12" s="7">
        <v>6.5444444444444434</v>
      </c>
      <c r="F12" s="7">
        <v>8.507142857142858</v>
      </c>
      <c r="G12" s="7">
        <v>0.59418749999999998</v>
      </c>
      <c r="H12" s="7">
        <v>0.47300000000000003</v>
      </c>
      <c r="I12" s="7">
        <v>0.13275000000000001</v>
      </c>
    </row>
    <row r="13" spans="2:9" x14ac:dyDescent="0.3">
      <c r="B13" s="7">
        <v>6</v>
      </c>
      <c r="C13" s="8" t="s">
        <v>17</v>
      </c>
      <c r="D13" s="7">
        <v>27.741071428571434</v>
      </c>
      <c r="E13" s="7">
        <v>6.4500000000000011</v>
      </c>
      <c r="F13" s="7">
        <v>8.2982142857142858</v>
      </c>
      <c r="G13" s="7">
        <v>0.59537499999999999</v>
      </c>
      <c r="H13" s="7">
        <v>0.46787499999999999</v>
      </c>
      <c r="I13" s="7">
        <v>0.14074999999999999</v>
      </c>
    </row>
    <row r="14" spans="2:9" x14ac:dyDescent="0.3">
      <c r="B14" s="3"/>
      <c r="C14" s="2" t="s">
        <v>0</v>
      </c>
      <c r="D14" s="3">
        <f>AVERAGE(D11:D13)</f>
        <v>27.652976190476195</v>
      </c>
      <c r="E14" s="3">
        <f t="shared" ref="E14:I14" si="2">AVERAGE(E11:E13)</f>
        <v>6.55</v>
      </c>
      <c r="F14" s="3">
        <f t="shared" si="2"/>
        <v>8.4458333333333346</v>
      </c>
      <c r="G14" s="3">
        <f t="shared" si="2"/>
        <v>0.59506249999999994</v>
      </c>
      <c r="H14" s="3">
        <f t="shared" si="2"/>
        <v>0.47150000000000003</v>
      </c>
      <c r="I14" s="3">
        <f t="shared" si="2"/>
        <v>0.13670833333333335</v>
      </c>
    </row>
    <row r="15" spans="2:9" x14ac:dyDescent="0.3">
      <c r="B15" s="9"/>
      <c r="C15" s="10" t="s">
        <v>14</v>
      </c>
      <c r="D15" s="9">
        <f>_xlfn.STDEV.S(D11:D13)/(SQRT(COUNTA(D11:D13)))</f>
        <v>9.8080717256276317E-2</v>
      </c>
      <c r="E15" s="9">
        <f t="shared" ref="E15:I15" si="3">_xlfn.STDEV.S(E11:E13)/(SQRT(COUNTA(E11:E13)))</f>
        <v>5.9403759008686635E-2</v>
      </c>
      <c r="F15" s="9">
        <f t="shared" si="3"/>
        <v>7.4161507120082501E-2</v>
      </c>
      <c r="G15" s="9">
        <f t="shared" si="3"/>
        <v>4.434124302873695E-4</v>
      </c>
      <c r="H15" s="9">
        <f t="shared" si="3"/>
        <v>1.8214577495328788E-3</v>
      </c>
      <c r="I15" s="9">
        <f t="shared" si="3"/>
        <v>2.3097769252558606E-3</v>
      </c>
    </row>
    <row r="16" spans="2:9" ht="19.5" x14ac:dyDescent="0.35">
      <c r="B16" s="7"/>
      <c r="C16" s="11" t="s">
        <v>18</v>
      </c>
      <c r="D16" s="7"/>
      <c r="E16" s="7"/>
      <c r="F16" s="7"/>
      <c r="G16" s="7"/>
      <c r="H16" s="7"/>
      <c r="I16" s="7"/>
    </row>
    <row r="17" spans="2:9" x14ac:dyDescent="0.3">
      <c r="B17" s="7">
        <v>7</v>
      </c>
      <c r="C17" s="8" t="s">
        <v>19</v>
      </c>
      <c r="D17" s="7">
        <v>27.949999999999996</v>
      </c>
      <c r="E17" s="7">
        <v>6.55</v>
      </c>
      <c r="F17" s="7">
        <v>8.4892857142857157</v>
      </c>
      <c r="G17" s="7">
        <v>0.46925</v>
      </c>
      <c r="H17" s="7">
        <v>0.42887500000000001</v>
      </c>
      <c r="I17" s="7">
        <v>0.11100000000000002</v>
      </c>
    </row>
    <row r="18" spans="2:9" x14ac:dyDescent="0.3">
      <c r="B18" s="7">
        <v>8</v>
      </c>
      <c r="C18" s="8" t="s">
        <v>20</v>
      </c>
      <c r="D18" s="7">
        <v>27.614285714285717</v>
      </c>
      <c r="E18" s="7">
        <v>6.5055555555555555</v>
      </c>
      <c r="F18" s="7">
        <v>8.4696428571428584</v>
      </c>
      <c r="G18" s="7">
        <v>0.46750000000000003</v>
      </c>
      <c r="H18" s="7">
        <v>0.41237500000000005</v>
      </c>
      <c r="I18" s="7">
        <v>0.10774999999999998</v>
      </c>
    </row>
    <row r="19" spans="2:9" x14ac:dyDescent="0.3">
      <c r="B19" s="7">
        <v>9</v>
      </c>
      <c r="C19" s="8" t="s">
        <v>21</v>
      </c>
      <c r="D19" s="7">
        <v>27.848214285714278</v>
      </c>
      <c r="E19" s="7">
        <v>6.6222222222222218</v>
      </c>
      <c r="F19" s="7">
        <v>8.3125</v>
      </c>
      <c r="G19" s="7">
        <v>0.46612500000000001</v>
      </c>
      <c r="H19" s="7">
        <v>0.426375</v>
      </c>
      <c r="I19" s="7">
        <v>0.10625</v>
      </c>
    </row>
    <row r="20" spans="2:9" x14ac:dyDescent="0.3">
      <c r="B20" s="3"/>
      <c r="C20" s="2" t="s">
        <v>0</v>
      </c>
      <c r="D20" s="3">
        <f>AVERAGE(D17:D19)</f>
        <v>27.804166666666664</v>
      </c>
      <c r="E20" s="3">
        <f t="shared" ref="E20:I20" si="4">AVERAGE(E17:E19)</f>
        <v>6.5592592592592593</v>
      </c>
      <c r="F20" s="3">
        <f t="shared" si="4"/>
        <v>8.4238095238095241</v>
      </c>
      <c r="G20" s="3">
        <f t="shared" si="4"/>
        <v>0.46762499999999996</v>
      </c>
      <c r="H20" s="3">
        <f t="shared" si="4"/>
        <v>0.42254166666666665</v>
      </c>
      <c r="I20" s="3">
        <f t="shared" si="4"/>
        <v>0.10833333333333334</v>
      </c>
    </row>
    <row r="21" spans="2:9" x14ac:dyDescent="0.3">
      <c r="B21" s="9"/>
      <c r="C21" s="10" t="s">
        <v>14</v>
      </c>
      <c r="D21" s="9">
        <f>_xlfn.STDEV.S(D17:D19)/(SQRT(COUNTA(D17:D19)))</f>
        <v>9.9383373803979949E-2</v>
      </c>
      <c r="E21" s="9">
        <f t="shared" ref="E21:I21" si="5">_xlfn.STDEV.S(E17:E19)/(SQRT(COUNTA(E17:E19)))</f>
        <v>3.3995481019788429E-2</v>
      </c>
      <c r="F21" s="9">
        <f t="shared" si="5"/>
        <v>5.5942881665769988E-2</v>
      </c>
      <c r="G21" s="9">
        <f t="shared" si="5"/>
        <v>9.0427226725877578E-4</v>
      </c>
      <c r="H21" s="9">
        <f t="shared" si="5"/>
        <v>5.1343072669164415E-3</v>
      </c>
      <c r="I21" s="9">
        <f t="shared" si="5"/>
        <v>1.4018836534384E-3</v>
      </c>
    </row>
    <row r="22" spans="2:9" x14ac:dyDescent="0.3">
      <c r="B22" s="7">
        <v>10</v>
      </c>
      <c r="C22" s="8" t="s">
        <v>22</v>
      </c>
      <c r="D22" s="7">
        <v>28.051785714285717</v>
      </c>
      <c r="E22" s="7">
        <v>6.5611111111111118</v>
      </c>
      <c r="F22" s="7">
        <v>8.5107142857142897</v>
      </c>
      <c r="G22" s="7">
        <v>0.546875</v>
      </c>
      <c r="H22" s="7">
        <v>0.4415</v>
      </c>
      <c r="I22" s="7">
        <v>0.11912500000000001</v>
      </c>
    </row>
    <row r="23" spans="2:9" x14ac:dyDescent="0.3">
      <c r="B23" s="7">
        <v>11</v>
      </c>
      <c r="C23" s="8" t="s">
        <v>23</v>
      </c>
      <c r="D23" s="7">
        <v>27.610714285714291</v>
      </c>
      <c r="E23" s="7">
        <v>6.4777777777777779</v>
      </c>
      <c r="F23" s="7">
        <v>8.4821428571428594</v>
      </c>
      <c r="G23" s="7">
        <v>0.54700000000000004</v>
      </c>
      <c r="H23" s="7">
        <v>0.42099999999999999</v>
      </c>
      <c r="I23" s="7">
        <v>0.11837499999999999</v>
      </c>
    </row>
    <row r="24" spans="2:9" x14ac:dyDescent="0.3">
      <c r="B24" s="7">
        <v>12</v>
      </c>
      <c r="C24" s="8" t="s">
        <v>24</v>
      </c>
      <c r="D24" s="7">
        <v>27.780357142857138</v>
      </c>
      <c r="E24" s="7">
        <v>6.6166666666666663</v>
      </c>
      <c r="F24" s="7">
        <v>8.289285714285711</v>
      </c>
      <c r="G24" s="7">
        <v>0.54837500000000006</v>
      </c>
      <c r="H24" s="7">
        <v>0.42399999999999999</v>
      </c>
      <c r="I24" s="7">
        <v>0.12</v>
      </c>
    </row>
    <row r="25" spans="2:9" x14ac:dyDescent="0.3">
      <c r="B25" s="3"/>
      <c r="C25" s="2" t="s">
        <v>0</v>
      </c>
      <c r="D25" s="3">
        <f>AVERAGE(D22:D24)</f>
        <v>27.814285714285717</v>
      </c>
      <c r="E25" s="3">
        <f t="shared" ref="E25:I25" si="6">AVERAGE(E22:E24)</f>
        <v>6.5518518518518514</v>
      </c>
      <c r="F25" s="3">
        <f t="shared" si="6"/>
        <v>8.4273809523809522</v>
      </c>
      <c r="G25" s="3">
        <f t="shared" si="6"/>
        <v>0.54741666666666677</v>
      </c>
      <c r="H25" s="3">
        <f t="shared" si="6"/>
        <v>0.42883333333333334</v>
      </c>
      <c r="I25" s="3">
        <f t="shared" si="6"/>
        <v>0.11916666666666666</v>
      </c>
    </row>
    <row r="26" spans="2:9" x14ac:dyDescent="0.3">
      <c r="B26" s="9"/>
      <c r="C26" s="10" t="s">
        <v>14</v>
      </c>
      <c r="D26" s="9">
        <f>_xlfn.STDEV.S(D22:D24)/(SQRT(COUNTA(D22:D24)))</f>
        <v>0.12845149829786309</v>
      </c>
      <c r="E26" s="9">
        <f t="shared" ref="E26:I26" si="7">_xlfn.STDEV.S(E22:E24)/(SQRT(COUNTA(E22:E24)))</f>
        <v>4.0360175403154279E-2</v>
      </c>
      <c r="F26" s="9">
        <f t="shared" si="7"/>
        <v>6.9538485078622328E-2</v>
      </c>
      <c r="G26" s="9">
        <f t="shared" si="7"/>
        <v>4.8052344144462934E-4</v>
      </c>
      <c r="H26" s="9">
        <f t="shared" si="7"/>
        <v>6.392269636921708E-3</v>
      </c>
      <c r="I26" s="9">
        <f t="shared" si="7"/>
        <v>4.6955948623269379E-4</v>
      </c>
    </row>
    <row r="27" spans="2:9" x14ac:dyDescent="0.3">
      <c r="B27" s="7"/>
      <c r="C27" s="8" t="s">
        <v>25</v>
      </c>
      <c r="D27" s="7"/>
      <c r="E27" s="7"/>
      <c r="F27" s="7"/>
      <c r="G27" s="7"/>
      <c r="H27" s="7"/>
      <c r="I27" s="7"/>
    </row>
    <row r="28" spans="2:9" x14ac:dyDescent="0.3">
      <c r="B28" s="7">
        <v>13</v>
      </c>
      <c r="C28" s="8" t="s">
        <v>26</v>
      </c>
      <c r="D28" s="7">
        <v>27.778571428571428</v>
      </c>
      <c r="E28" s="7">
        <v>6.6111111111111107</v>
      </c>
      <c r="F28" s="7">
        <v>8.610714285714284</v>
      </c>
      <c r="G28" s="7">
        <v>0.67712499999999998</v>
      </c>
      <c r="H28" s="7">
        <v>0.52424999999999999</v>
      </c>
      <c r="I28" s="7">
        <v>0.15325</v>
      </c>
    </row>
    <row r="29" spans="2:9" x14ac:dyDescent="0.3">
      <c r="B29" s="7">
        <v>14</v>
      </c>
      <c r="C29" s="8" t="s">
        <v>27</v>
      </c>
      <c r="D29" s="7">
        <v>27.544642857142861</v>
      </c>
      <c r="E29" s="7">
        <v>6.5444444444444461</v>
      </c>
      <c r="F29" s="7">
        <v>8.4464285714285712</v>
      </c>
      <c r="G29" s="7">
        <v>0.66843750000000002</v>
      </c>
      <c r="H29" s="7">
        <v>0.50387499999999996</v>
      </c>
      <c r="I29" s="7">
        <v>0.143875</v>
      </c>
    </row>
    <row r="30" spans="2:9" x14ac:dyDescent="0.3">
      <c r="B30" s="7">
        <v>15</v>
      </c>
      <c r="C30" s="8" t="s">
        <v>28</v>
      </c>
      <c r="D30" s="7">
        <v>27.599999999999994</v>
      </c>
      <c r="E30" s="7">
        <v>6.655555555555555</v>
      </c>
      <c r="F30" s="7">
        <v>8.5875000000000021</v>
      </c>
      <c r="G30" s="7">
        <v>0.65037499999999993</v>
      </c>
      <c r="H30" s="7">
        <v>0.51124999999999998</v>
      </c>
      <c r="I30" s="7">
        <v>0.15412500000000001</v>
      </c>
    </row>
    <row r="31" spans="2:9" x14ac:dyDescent="0.3">
      <c r="B31" s="3"/>
      <c r="C31" s="2" t="s">
        <v>0</v>
      </c>
      <c r="D31" s="3">
        <f>AVERAGE(D28:D30)</f>
        <v>27.641071428571426</v>
      </c>
      <c r="E31" s="3">
        <f t="shared" ref="E31:I31" si="8">AVERAGE(E28:E30)</f>
        <v>6.6037037037037036</v>
      </c>
      <c r="F31" s="3">
        <f t="shared" si="8"/>
        <v>8.5482142857142858</v>
      </c>
      <c r="G31" s="3">
        <f t="shared" si="8"/>
        <v>0.66531249999999997</v>
      </c>
      <c r="H31" s="3">
        <f t="shared" si="8"/>
        <v>0.51312499999999994</v>
      </c>
      <c r="I31" s="3">
        <f t="shared" si="8"/>
        <v>0.15041666666666667</v>
      </c>
    </row>
    <row r="32" spans="2:9" x14ac:dyDescent="0.3">
      <c r="B32" s="9"/>
      <c r="C32" s="10" t="s">
        <v>14</v>
      </c>
      <c r="D32" s="9">
        <f>_xlfn.STDEV.S(D28:D30)/(SQRT(COUNTA(D28:D30)))</f>
        <v>7.0582790197815132E-2</v>
      </c>
      <c r="E32" s="9">
        <f t="shared" ref="E32:I32" si="9">_xlfn.STDEV.S(E28:E30)/(SQRT(COUNTA(E28:E30)))</f>
        <v>3.2288140322522849E-2</v>
      </c>
      <c r="F32" s="9">
        <f t="shared" si="9"/>
        <v>5.1332168243691405E-2</v>
      </c>
      <c r="G32" s="9">
        <f t="shared" si="9"/>
        <v>7.8785540921753935E-3</v>
      </c>
      <c r="H32" s="9">
        <f t="shared" si="9"/>
        <v>5.9560018748597999E-3</v>
      </c>
      <c r="I32" s="9">
        <f t="shared" si="9"/>
        <v>3.2805720199041181E-3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of water quality 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2021-06-03T14:01:29Z</dcterms:modified>
</cp:coreProperties>
</file>