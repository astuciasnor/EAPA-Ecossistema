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29"/>
  <workbookPr/>
  <mc:AlternateContent xmlns:mc="http://schemas.openxmlformats.org/markup-compatibility/2006">
    <mc:Choice Requires="x15">
      <x15ac:absPath xmlns:x15ac="http://schemas.microsoft.com/office/spreadsheetml/2010/11/ac" url="E:\Masters Aquaculture\Journal papers for thesis kafia\Data sheets Thesis work\Excel data sheets KAFIA thesis\Final data sheets KAFIA\KAFIA data in brief\Data in brief final\Data in brief all excel sheets\"/>
    </mc:Choice>
  </mc:AlternateContent>
  <xr:revisionPtr revIDLastSave="0" documentId="13_ncr:1_{5039EC72-B236-4334-B1B3-2EC3D6FF589E}" xr6:coauthVersionLast="46" xr6:coauthVersionMax="46" xr10:uidLastSave="{00000000-0000-0000-0000-000000000000}"/>
  <bookViews>
    <workbookView xWindow="-120" yWindow="-120" windowWidth="20730" windowHeight="10545" xr2:uid="{00000000-000D-0000-FFFF-FFFF00000000}"/>
  </bookViews>
  <sheets>
    <sheet name="Data for Serum Profile Analysis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7" i="2" l="1"/>
  <c r="K37" i="2"/>
  <c r="J37" i="2"/>
  <c r="I37" i="2"/>
  <c r="F37" i="2"/>
  <c r="E37" i="2"/>
  <c r="M36" i="2"/>
  <c r="K36" i="2"/>
  <c r="J36" i="2"/>
  <c r="I36" i="2"/>
  <c r="F36" i="2"/>
  <c r="E36" i="2"/>
  <c r="M35" i="2"/>
  <c r="K35" i="2"/>
  <c r="J35" i="2"/>
  <c r="I35" i="2"/>
  <c r="F35" i="2"/>
  <c r="E35" i="2"/>
  <c r="L34" i="2"/>
  <c r="H34" i="2"/>
  <c r="G34" i="2"/>
  <c r="L33" i="2"/>
  <c r="G33" i="2"/>
  <c r="H33" i="2" s="1"/>
  <c r="L32" i="2"/>
  <c r="L37" i="2" s="1"/>
  <c r="G32" i="2"/>
  <c r="G35" i="2" s="1"/>
  <c r="M30" i="2"/>
  <c r="K30" i="2"/>
  <c r="J30" i="2"/>
  <c r="I30" i="2"/>
  <c r="F30" i="2"/>
  <c r="E30" i="2"/>
  <c r="M29" i="2"/>
  <c r="K29" i="2"/>
  <c r="J29" i="2"/>
  <c r="I29" i="2"/>
  <c r="F29" i="2"/>
  <c r="E29" i="2"/>
  <c r="M28" i="2"/>
  <c r="K28" i="2"/>
  <c r="J28" i="2"/>
  <c r="I28" i="2"/>
  <c r="F28" i="2"/>
  <c r="E28" i="2"/>
  <c r="L27" i="2"/>
  <c r="H27" i="2"/>
  <c r="G27" i="2"/>
  <c r="L26" i="2"/>
  <c r="G26" i="2"/>
  <c r="G28" i="2" s="1"/>
  <c r="L25" i="2"/>
  <c r="L30" i="2" s="1"/>
  <c r="G25" i="2"/>
  <c r="G30" i="2" s="1"/>
  <c r="M24" i="2"/>
  <c r="K24" i="2"/>
  <c r="J24" i="2"/>
  <c r="I24" i="2"/>
  <c r="F24" i="2"/>
  <c r="E24" i="2"/>
  <c r="M23" i="2"/>
  <c r="K23" i="2"/>
  <c r="J23" i="2"/>
  <c r="I23" i="2"/>
  <c r="F23" i="2"/>
  <c r="E23" i="2"/>
  <c r="M22" i="2"/>
  <c r="K22" i="2"/>
  <c r="J22" i="2"/>
  <c r="I22" i="2"/>
  <c r="F22" i="2"/>
  <c r="E22" i="2"/>
  <c r="L21" i="2"/>
  <c r="H21" i="2"/>
  <c r="G21" i="2"/>
  <c r="L20" i="2"/>
  <c r="G20" i="2"/>
  <c r="G22" i="2" s="1"/>
  <c r="L19" i="2"/>
  <c r="L24" i="2" s="1"/>
  <c r="G19" i="2"/>
  <c r="G24" i="2" s="1"/>
  <c r="M17" i="2"/>
  <c r="K17" i="2"/>
  <c r="J17" i="2"/>
  <c r="I17" i="2"/>
  <c r="F17" i="2"/>
  <c r="E17" i="2"/>
  <c r="M16" i="2"/>
  <c r="K16" i="2"/>
  <c r="J16" i="2"/>
  <c r="I16" i="2"/>
  <c r="F16" i="2"/>
  <c r="E16" i="2"/>
  <c r="M15" i="2"/>
  <c r="K15" i="2"/>
  <c r="J15" i="2"/>
  <c r="I15" i="2"/>
  <c r="F15" i="2"/>
  <c r="E15" i="2"/>
  <c r="L14" i="2"/>
  <c r="H14" i="2"/>
  <c r="G14" i="2"/>
  <c r="L13" i="2"/>
  <c r="G13" i="2"/>
  <c r="G15" i="2" s="1"/>
  <c r="L12" i="2"/>
  <c r="L17" i="2" s="1"/>
  <c r="G12" i="2"/>
  <c r="G17" i="2" s="1"/>
  <c r="M11" i="2"/>
  <c r="K11" i="2"/>
  <c r="J11" i="2"/>
  <c r="I11" i="2"/>
  <c r="F11" i="2"/>
  <c r="E11" i="2"/>
  <c r="M10" i="2"/>
  <c r="K10" i="2"/>
  <c r="J10" i="2"/>
  <c r="I10" i="2"/>
  <c r="F10" i="2"/>
  <c r="E10" i="2"/>
  <c r="M9" i="2"/>
  <c r="K9" i="2"/>
  <c r="J9" i="2"/>
  <c r="I9" i="2"/>
  <c r="F9" i="2"/>
  <c r="E9" i="2"/>
  <c r="L8" i="2"/>
  <c r="H8" i="2"/>
  <c r="G8" i="2"/>
  <c r="L7" i="2"/>
  <c r="G7" i="2"/>
  <c r="G9" i="2" s="1"/>
  <c r="L6" i="2"/>
  <c r="L11" i="2" s="1"/>
  <c r="G6" i="2"/>
  <c r="G11" i="2" s="1"/>
  <c r="H7" i="2" l="1"/>
  <c r="L9" i="2"/>
  <c r="H13" i="2"/>
  <c r="L15" i="2"/>
  <c r="G16" i="2"/>
  <c r="H20" i="2"/>
  <c r="L22" i="2"/>
  <c r="G23" i="2"/>
  <c r="H26" i="2"/>
  <c r="L28" i="2"/>
  <c r="G29" i="2"/>
  <c r="L35" i="2"/>
  <c r="G36" i="2"/>
  <c r="G10" i="2"/>
  <c r="H6" i="2"/>
  <c r="L10" i="2"/>
  <c r="H12" i="2"/>
  <c r="L16" i="2"/>
  <c r="H19" i="2"/>
  <c r="L23" i="2"/>
  <c r="H25" i="2"/>
  <c r="L29" i="2"/>
  <c r="H32" i="2"/>
  <c r="L36" i="2"/>
  <c r="G37" i="2"/>
  <c r="H37" i="2" l="1"/>
  <c r="H36" i="2"/>
  <c r="H35" i="2"/>
  <c r="H24" i="2"/>
  <c r="H23" i="2"/>
  <c r="H22" i="2"/>
  <c r="H11" i="2"/>
  <c r="H10" i="2"/>
  <c r="H9" i="2"/>
  <c r="H30" i="2"/>
  <c r="H29" i="2"/>
  <c r="H28" i="2"/>
  <c r="H17" i="2"/>
  <c r="H16" i="2"/>
  <c r="H15" i="2"/>
</calcChain>
</file>

<file path=xl/sharedStrings.xml><?xml version="1.0" encoding="utf-8"?>
<sst xmlns="http://schemas.openxmlformats.org/spreadsheetml/2006/main" count="52" uniqueCount="35">
  <si>
    <t>SI No.</t>
  </si>
  <si>
    <t xml:space="preserve">Treatment </t>
  </si>
  <si>
    <t>Total Protein</t>
  </si>
  <si>
    <t>Albumin</t>
  </si>
  <si>
    <t>Globulin</t>
  </si>
  <si>
    <t>A/G ratio</t>
  </si>
  <si>
    <t>Blood Glucose</t>
  </si>
  <si>
    <t>Triglyceride</t>
  </si>
  <si>
    <t>Cholesterol</t>
  </si>
  <si>
    <t>Serum/plasma Urea</t>
  </si>
  <si>
    <t>Serum/plasma BUN</t>
  </si>
  <si>
    <t>(g/dl)</t>
  </si>
  <si>
    <t>(g/dL)</t>
  </si>
  <si>
    <t>(mg/dl)</t>
  </si>
  <si>
    <t>Nannochloropsis</t>
  </si>
  <si>
    <t>N25R1</t>
  </si>
  <si>
    <t>N25R2</t>
  </si>
  <si>
    <t>N25R3</t>
  </si>
  <si>
    <t>Average</t>
  </si>
  <si>
    <t>STDEV</t>
  </si>
  <si>
    <t>SE</t>
  </si>
  <si>
    <t>N50R1</t>
  </si>
  <si>
    <t>N50R2</t>
  </si>
  <si>
    <t>N50R3</t>
  </si>
  <si>
    <t>Tetraselmis chuii</t>
  </si>
  <si>
    <t>T25R1</t>
  </si>
  <si>
    <t>T25R2</t>
  </si>
  <si>
    <t>T25R3</t>
  </si>
  <si>
    <t>T50R1</t>
  </si>
  <si>
    <t>T50R2</t>
  </si>
  <si>
    <t>T50R3</t>
  </si>
  <si>
    <t>Control</t>
  </si>
  <si>
    <t>CR1</t>
  </si>
  <si>
    <t>CR2</t>
  </si>
  <si>
    <t>CR3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</si>
</sst>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i/>
      <sz val="12"/>
      <color theme="1"/>
      <name val="Times New Roman"/>
      <family val="1"/>
    </font>
    <font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7F32-D8E0-41F6-8358-AA1A5A8611CC}">
  <dimension ref="C3:M37"/>
  <sheetViews>
    <sheetView tabSelected="1" topLeftCell="B1" zoomScale="90" zoomScaleNormal="90" workbookViewId="0">
      <selection activeCell="G17" sqref="G17"/>
    </sheetView>
  </sheetViews>
  <sheetFormatPr defaultColWidth="9.140625" defaultRowHeight="15.75" x14ac:dyDescent="0.25"/>
  <cols>
    <col min="1" max="3" width="9.140625" style="3"/>
    <col min="4" max="4" width="18.7109375" style="3" customWidth="1"/>
    <col min="5" max="5" width="16.85546875" style="3" customWidth="1"/>
    <col min="6" max="6" width="19.85546875" style="3" customWidth="1"/>
    <col min="7" max="7" width="17.28515625" style="3" customWidth="1"/>
    <col min="8" max="9" width="15.7109375" style="3" customWidth="1"/>
    <col min="10" max="11" width="16.7109375" style="3" customWidth="1"/>
    <col min="12" max="13" width="22" style="3" customWidth="1"/>
    <col min="14" max="16384" width="9.140625" style="3"/>
  </cols>
  <sheetData>
    <row r="3" spans="3:13" x14ac:dyDescent="0.25">
      <c r="C3" s="1" t="s">
        <v>0</v>
      </c>
      <c r="D3" s="1" t="s">
        <v>1</v>
      </c>
      <c r="E3" s="2" t="s">
        <v>2</v>
      </c>
      <c r="F3" s="2" t="s">
        <v>3</v>
      </c>
      <c r="G3" s="2" t="s">
        <v>4</v>
      </c>
      <c r="H3" s="2" t="s">
        <v>5</v>
      </c>
      <c r="I3" s="2" t="s">
        <v>6</v>
      </c>
      <c r="J3" s="2" t="s">
        <v>7</v>
      </c>
      <c r="K3" s="2" t="s">
        <v>8</v>
      </c>
      <c r="L3" s="2" t="s">
        <v>9</v>
      </c>
      <c r="M3" s="2" t="s">
        <v>10</v>
      </c>
    </row>
    <row r="4" spans="3:13" x14ac:dyDescent="0.25">
      <c r="C4" s="4"/>
      <c r="D4" s="1"/>
      <c r="E4" s="2" t="s">
        <v>11</v>
      </c>
      <c r="F4" s="2" t="s">
        <v>12</v>
      </c>
      <c r="G4" s="2" t="s">
        <v>12</v>
      </c>
      <c r="H4" s="2"/>
      <c r="I4" s="2" t="s">
        <v>13</v>
      </c>
      <c r="J4" s="2" t="s">
        <v>13</v>
      </c>
      <c r="K4" s="2" t="s">
        <v>13</v>
      </c>
      <c r="L4" s="2" t="s">
        <v>13</v>
      </c>
      <c r="M4" s="2" t="s">
        <v>13</v>
      </c>
    </row>
    <row r="5" spans="3:13" x14ac:dyDescent="0.25">
      <c r="C5" s="5"/>
      <c r="D5" s="6" t="s">
        <v>14</v>
      </c>
      <c r="E5" s="5"/>
      <c r="F5" s="5"/>
      <c r="G5" s="5"/>
      <c r="H5" s="5"/>
      <c r="I5" s="5"/>
      <c r="J5" s="7"/>
      <c r="K5" s="5"/>
      <c r="L5" s="5"/>
      <c r="M5" s="5"/>
    </row>
    <row r="6" spans="3:13" x14ac:dyDescent="0.25">
      <c r="C6" s="5">
        <v>1</v>
      </c>
      <c r="D6" s="8" t="s">
        <v>15</v>
      </c>
      <c r="E6" s="5">
        <v>4.8</v>
      </c>
      <c r="F6" s="5">
        <v>2.12</v>
      </c>
      <c r="G6" s="5">
        <f>SUM(E6,-F6)</f>
        <v>2.6799999999999997</v>
      </c>
      <c r="H6" s="5">
        <f>(F6/G6)</f>
        <v>0.79104477611940316</v>
      </c>
      <c r="I6" s="5">
        <v>72.7</v>
      </c>
      <c r="J6" s="7">
        <v>199.9</v>
      </c>
      <c r="K6" s="5">
        <v>208.7</v>
      </c>
      <c r="L6" s="5">
        <f>(M6/0.467)</f>
        <v>24.411134903640257</v>
      </c>
      <c r="M6" s="5">
        <v>11.4</v>
      </c>
    </row>
    <row r="7" spans="3:13" x14ac:dyDescent="0.25">
      <c r="C7" s="5">
        <v>2</v>
      </c>
      <c r="D7" s="8" t="s">
        <v>16</v>
      </c>
      <c r="E7" s="5">
        <v>4.83</v>
      </c>
      <c r="F7" s="5">
        <v>2.09</v>
      </c>
      <c r="G7" s="5">
        <f t="shared" ref="G7:G8" si="0">SUM(E7,-F7)</f>
        <v>2.74</v>
      </c>
      <c r="H7" s="5">
        <f t="shared" ref="H7:H34" si="1">(F7/G7)</f>
        <v>0.76277372262773713</v>
      </c>
      <c r="I7" s="5">
        <v>73</v>
      </c>
      <c r="J7" s="7">
        <v>198.7</v>
      </c>
      <c r="K7" s="5">
        <v>207.94</v>
      </c>
      <c r="L7" s="5">
        <f t="shared" ref="L7:L33" si="2">(M7/0.467)</f>
        <v>23.982869379014986</v>
      </c>
      <c r="M7" s="5">
        <v>11.2</v>
      </c>
    </row>
    <row r="8" spans="3:13" x14ac:dyDescent="0.25">
      <c r="C8" s="5">
        <v>3</v>
      </c>
      <c r="D8" s="8" t="s">
        <v>17</v>
      </c>
      <c r="E8" s="5">
        <v>4.8</v>
      </c>
      <c r="F8" s="5">
        <v>2.2000000000000002</v>
      </c>
      <c r="G8" s="5">
        <f t="shared" si="0"/>
        <v>2.5999999999999996</v>
      </c>
      <c r="H8" s="5">
        <f t="shared" si="1"/>
        <v>0.84615384615384637</v>
      </c>
      <c r="I8" s="5">
        <v>72.900000000000006</v>
      </c>
      <c r="J8" s="7">
        <v>199</v>
      </c>
      <c r="K8" s="5">
        <v>208</v>
      </c>
      <c r="L8" s="5">
        <f t="shared" si="2"/>
        <v>25.481798715203425</v>
      </c>
      <c r="M8" s="5">
        <v>11.9</v>
      </c>
    </row>
    <row r="9" spans="3:13" x14ac:dyDescent="0.25">
      <c r="C9" s="4"/>
      <c r="D9" s="1" t="s">
        <v>18</v>
      </c>
      <c r="E9" s="4">
        <f t="shared" ref="E9:M9" si="3">AVERAGE(E6:E8)</f>
        <v>4.8099999999999996</v>
      </c>
      <c r="F9" s="4">
        <f t="shared" si="3"/>
        <v>2.1366666666666667</v>
      </c>
      <c r="G9" s="4">
        <f t="shared" si="3"/>
        <v>2.6733333333333333</v>
      </c>
      <c r="H9" s="4">
        <f t="shared" si="3"/>
        <v>0.79999078163366211</v>
      </c>
      <c r="I9" s="4">
        <f t="shared" si="3"/>
        <v>72.86666666666666</v>
      </c>
      <c r="J9" s="4">
        <f t="shared" si="3"/>
        <v>199.20000000000002</v>
      </c>
      <c r="K9" s="4">
        <f t="shared" si="3"/>
        <v>208.21333333333334</v>
      </c>
      <c r="L9" s="4">
        <f t="shared" si="3"/>
        <v>24.62526766595289</v>
      </c>
      <c r="M9" s="4">
        <f t="shared" si="3"/>
        <v>11.5</v>
      </c>
    </row>
    <row r="10" spans="3:13" x14ac:dyDescent="0.25">
      <c r="C10" s="9"/>
      <c r="D10" s="10" t="s">
        <v>19</v>
      </c>
      <c r="E10" s="9">
        <f t="shared" ref="E10:M10" si="4">_xlfn.STDEV.S(E6:E8)</f>
        <v>1.7320508075688915E-2</v>
      </c>
      <c r="F10" s="9">
        <f t="shared" si="4"/>
        <v>5.6862407030773408E-2</v>
      </c>
      <c r="G10" s="9">
        <f t="shared" si="4"/>
        <v>7.0237691685685194E-2</v>
      </c>
      <c r="H10" s="9">
        <f t="shared" si="4"/>
        <v>4.2403826605663483E-2</v>
      </c>
      <c r="I10" s="9">
        <f t="shared" si="4"/>
        <v>0.15275252316519375</v>
      </c>
      <c r="J10" s="9">
        <f t="shared" si="4"/>
        <v>0.62449979983984749</v>
      </c>
      <c r="K10" s="9">
        <f t="shared" si="4"/>
        <v>0.4225320500664162</v>
      </c>
      <c r="L10" s="9">
        <f t="shared" si="4"/>
        <v>0.77206665427494503</v>
      </c>
      <c r="M10" s="9">
        <f t="shared" si="4"/>
        <v>0.36055512754639935</v>
      </c>
    </row>
    <row r="11" spans="3:13" x14ac:dyDescent="0.25">
      <c r="C11" s="11"/>
      <c r="D11" s="12" t="s">
        <v>20</v>
      </c>
      <c r="E11" s="11">
        <f t="shared" ref="E11:M11" si="5">_xlfn.STDEV.S(E6:E8)/(SQRT(COUNTA(E6:E8)))</f>
        <v>1.0000000000000083E-2</v>
      </c>
      <c r="F11" s="11">
        <f t="shared" si="5"/>
        <v>3.2829526005987097E-2</v>
      </c>
      <c r="G11" s="11">
        <f t="shared" si="5"/>
        <v>4.0551750201988292E-2</v>
      </c>
      <c r="H11" s="11">
        <f t="shared" si="5"/>
        <v>2.4481860705450029E-2</v>
      </c>
      <c r="I11" s="11">
        <f t="shared" si="5"/>
        <v>8.8191710368819162E-2</v>
      </c>
      <c r="J11" s="11">
        <f t="shared" si="5"/>
        <v>0.3605551275464034</v>
      </c>
      <c r="K11" s="11">
        <f t="shared" si="5"/>
        <v>0.24394899284708985</v>
      </c>
      <c r="L11" s="11">
        <f t="shared" si="5"/>
        <v>0.44575289067797325</v>
      </c>
      <c r="M11" s="11">
        <f t="shared" si="5"/>
        <v>0.20816659994661352</v>
      </c>
    </row>
    <row r="12" spans="3:13" x14ac:dyDescent="0.25">
      <c r="C12" s="5">
        <v>4</v>
      </c>
      <c r="D12" s="8" t="s">
        <v>21</v>
      </c>
      <c r="E12" s="5">
        <v>3.96</v>
      </c>
      <c r="F12" s="5">
        <v>1.94</v>
      </c>
      <c r="G12" s="5">
        <f>SUM(E12,-F12)</f>
        <v>2.02</v>
      </c>
      <c r="H12" s="5">
        <f t="shared" si="1"/>
        <v>0.96039603960396036</v>
      </c>
      <c r="I12" s="5">
        <v>76.900000000000006</v>
      </c>
      <c r="J12" s="7">
        <v>194</v>
      </c>
      <c r="K12" s="5">
        <v>204.35</v>
      </c>
      <c r="L12" s="5">
        <f>(M12/0.467)</f>
        <v>24.197002141327623</v>
      </c>
      <c r="M12" s="5">
        <v>11.3</v>
      </c>
    </row>
    <row r="13" spans="3:13" x14ac:dyDescent="0.25">
      <c r="C13" s="5">
        <v>5</v>
      </c>
      <c r="D13" s="8" t="s">
        <v>22</v>
      </c>
      <c r="E13" s="5">
        <v>3.98</v>
      </c>
      <c r="F13" s="5">
        <v>1.9</v>
      </c>
      <c r="G13" s="5">
        <f t="shared" ref="G13:G14" si="6">SUM(E13,-F13)</f>
        <v>2.08</v>
      </c>
      <c r="H13" s="5">
        <f t="shared" si="1"/>
        <v>0.91346153846153844</v>
      </c>
      <c r="I13" s="5">
        <v>77</v>
      </c>
      <c r="J13" s="7">
        <v>194.7</v>
      </c>
      <c r="K13" s="5">
        <v>205.2</v>
      </c>
      <c r="L13" s="5">
        <f t="shared" si="2"/>
        <v>23.768736616702352</v>
      </c>
      <c r="M13" s="5">
        <v>11.1</v>
      </c>
    </row>
    <row r="14" spans="3:13" x14ac:dyDescent="0.25">
      <c r="C14" s="5">
        <v>6</v>
      </c>
      <c r="D14" s="8" t="s">
        <v>23</v>
      </c>
      <c r="E14" s="5">
        <v>3.9</v>
      </c>
      <c r="F14" s="5">
        <v>1.91</v>
      </c>
      <c r="G14" s="5">
        <f t="shared" si="6"/>
        <v>1.99</v>
      </c>
      <c r="H14" s="5">
        <f t="shared" si="1"/>
        <v>0.95979899497487431</v>
      </c>
      <c r="I14" s="5">
        <v>76</v>
      </c>
      <c r="J14" s="7">
        <v>193.8</v>
      </c>
      <c r="K14" s="5">
        <v>204</v>
      </c>
      <c r="L14" s="5">
        <f t="shared" si="2"/>
        <v>23.554603854389722</v>
      </c>
      <c r="M14" s="5">
        <v>11</v>
      </c>
    </row>
    <row r="15" spans="3:13" x14ac:dyDescent="0.25">
      <c r="C15" s="4"/>
      <c r="D15" s="1" t="s">
        <v>18</v>
      </c>
      <c r="E15" s="4">
        <f t="shared" ref="E15:M15" si="7">AVERAGE(E12:E14)</f>
        <v>3.9466666666666668</v>
      </c>
      <c r="F15" s="4">
        <f t="shared" si="7"/>
        <v>1.9166666666666667</v>
      </c>
      <c r="G15" s="4">
        <f t="shared" si="7"/>
        <v>2.0299999999999998</v>
      </c>
      <c r="H15" s="4">
        <f t="shared" si="7"/>
        <v>0.94455219101345766</v>
      </c>
      <c r="I15" s="4">
        <f t="shared" si="7"/>
        <v>76.63333333333334</v>
      </c>
      <c r="J15" s="4">
        <f t="shared" si="7"/>
        <v>194.16666666666666</v>
      </c>
      <c r="K15" s="4">
        <f t="shared" si="7"/>
        <v>204.51666666666665</v>
      </c>
      <c r="L15" s="4">
        <f t="shared" si="7"/>
        <v>23.840114204139898</v>
      </c>
      <c r="M15" s="4">
        <f t="shared" si="7"/>
        <v>11.133333333333333</v>
      </c>
    </row>
    <row r="16" spans="3:13" x14ac:dyDescent="0.25">
      <c r="C16" s="9"/>
      <c r="D16" s="10" t="s">
        <v>19</v>
      </c>
      <c r="E16" s="9">
        <f t="shared" ref="E16:M16" si="8">_xlfn.STDEV.S(E12:E14)</f>
        <v>4.1633319989322688E-2</v>
      </c>
      <c r="F16" s="9">
        <f t="shared" si="8"/>
        <v>2.0816659994661348E-2</v>
      </c>
      <c r="G16" s="9">
        <f t="shared" si="8"/>
        <v>4.5825756949558441E-2</v>
      </c>
      <c r="H16" s="9">
        <f t="shared" si="8"/>
        <v>2.6926949746497526E-2</v>
      </c>
      <c r="I16" s="9">
        <f t="shared" si="8"/>
        <v>0.55075705472861158</v>
      </c>
      <c r="J16" s="9">
        <f t="shared" si="8"/>
        <v>0.47258156262525003</v>
      </c>
      <c r="K16" s="9">
        <f t="shared" si="8"/>
        <v>0.61711695271911504</v>
      </c>
      <c r="L16" s="9">
        <f t="shared" si="8"/>
        <v>0.32709319735587739</v>
      </c>
      <c r="M16" s="9">
        <f t="shared" si="8"/>
        <v>0.15275252316519508</v>
      </c>
    </row>
    <row r="17" spans="3:13" x14ac:dyDescent="0.25">
      <c r="C17" s="11"/>
      <c r="D17" s="12" t="s">
        <v>20</v>
      </c>
      <c r="E17" s="11">
        <f t="shared" ref="E17:M17" si="9">_xlfn.STDEV.S(E12:E14)/(SQRT(COUNTA(E12:E14)))</f>
        <v>2.4037008503093284E-2</v>
      </c>
      <c r="F17" s="11">
        <f t="shared" si="9"/>
        <v>1.2018504251546644E-2</v>
      </c>
      <c r="G17" s="11">
        <f t="shared" si="9"/>
        <v>2.6457513110645932E-2</v>
      </c>
      <c r="H17" s="11">
        <f t="shared" si="9"/>
        <v>1.5546281684595873E-2</v>
      </c>
      <c r="I17" s="11">
        <f t="shared" si="9"/>
        <v>0.31797973380564937</v>
      </c>
      <c r="J17" s="11">
        <f t="shared" si="9"/>
        <v>0.27284509239574212</v>
      </c>
      <c r="K17" s="11">
        <f t="shared" si="9"/>
        <v>0.35629263877386264</v>
      </c>
      <c r="L17" s="11">
        <f t="shared" si="9"/>
        <v>0.18884734554351121</v>
      </c>
      <c r="M17" s="11">
        <f t="shared" si="9"/>
        <v>8.8191710368819926E-2</v>
      </c>
    </row>
    <row r="18" spans="3:13" x14ac:dyDescent="0.25">
      <c r="C18" s="5"/>
      <c r="D18" s="6" t="s">
        <v>24</v>
      </c>
      <c r="E18" s="5"/>
      <c r="F18" s="5"/>
      <c r="G18" s="5"/>
      <c r="H18" s="5"/>
      <c r="I18" s="5"/>
      <c r="J18" s="5"/>
      <c r="K18" s="5"/>
      <c r="L18" s="5"/>
      <c r="M18" s="5"/>
    </row>
    <row r="19" spans="3:13" x14ac:dyDescent="0.25">
      <c r="C19" s="5">
        <v>7</v>
      </c>
      <c r="D19" s="8" t="s">
        <v>25</v>
      </c>
      <c r="E19" s="5">
        <v>5.6</v>
      </c>
      <c r="F19" s="5">
        <v>2.35</v>
      </c>
      <c r="G19" s="5">
        <f>SUM(E19,-F19)</f>
        <v>3.2499999999999996</v>
      </c>
      <c r="H19" s="5">
        <f t="shared" si="1"/>
        <v>0.72307692307692317</v>
      </c>
      <c r="I19" s="5">
        <v>67</v>
      </c>
      <c r="J19" s="7">
        <v>208.9</v>
      </c>
      <c r="K19" s="5">
        <v>230</v>
      </c>
      <c r="L19" s="5">
        <f t="shared" si="2"/>
        <v>27.408993576017131</v>
      </c>
      <c r="M19" s="5">
        <v>12.8</v>
      </c>
    </row>
    <row r="20" spans="3:13" x14ac:dyDescent="0.25">
      <c r="C20" s="5">
        <v>8</v>
      </c>
      <c r="D20" s="8" t="s">
        <v>26</v>
      </c>
      <c r="E20" s="5">
        <v>5.74</v>
      </c>
      <c r="F20" s="5">
        <v>2.36</v>
      </c>
      <c r="G20" s="5">
        <f t="shared" ref="G20:G21" si="10">SUM(E20,-F20)</f>
        <v>3.3800000000000003</v>
      </c>
      <c r="H20" s="5">
        <f t="shared" si="1"/>
        <v>0.69822485207100582</v>
      </c>
      <c r="I20" s="5">
        <v>67.5</v>
      </c>
      <c r="J20" s="7">
        <v>208</v>
      </c>
      <c r="K20" s="5">
        <v>230.7</v>
      </c>
      <c r="L20" s="5">
        <f t="shared" si="2"/>
        <v>27.623126338329765</v>
      </c>
      <c r="M20" s="5">
        <v>12.9</v>
      </c>
    </row>
    <row r="21" spans="3:13" x14ac:dyDescent="0.25">
      <c r="C21" s="5">
        <v>9</v>
      </c>
      <c r="D21" s="8" t="s">
        <v>27</v>
      </c>
      <c r="E21" s="5">
        <v>5.7</v>
      </c>
      <c r="F21" s="5">
        <v>2.2999999999999998</v>
      </c>
      <c r="G21" s="5">
        <f t="shared" si="10"/>
        <v>3.4000000000000004</v>
      </c>
      <c r="H21" s="5">
        <f t="shared" si="1"/>
        <v>0.67647058823529405</v>
      </c>
      <c r="I21" s="5">
        <v>68</v>
      </c>
      <c r="J21" s="7">
        <v>209</v>
      </c>
      <c r="K21" s="5">
        <v>231</v>
      </c>
      <c r="L21" s="5">
        <f t="shared" si="2"/>
        <v>26.766595289079227</v>
      </c>
      <c r="M21" s="5">
        <v>12.5</v>
      </c>
    </row>
    <row r="22" spans="3:13" x14ac:dyDescent="0.25">
      <c r="C22" s="4"/>
      <c r="D22" s="1" t="s">
        <v>18</v>
      </c>
      <c r="E22" s="4">
        <f t="shared" ref="E22:M22" si="11">AVERAGE(E19:E21)</f>
        <v>5.68</v>
      </c>
      <c r="F22" s="4">
        <f t="shared" si="11"/>
        <v>2.3366666666666664</v>
      </c>
      <c r="G22" s="4">
        <f t="shared" si="11"/>
        <v>3.3433333333333337</v>
      </c>
      <c r="H22" s="4">
        <f t="shared" si="11"/>
        <v>0.69925745446107435</v>
      </c>
      <c r="I22" s="4">
        <f t="shared" si="11"/>
        <v>67.5</v>
      </c>
      <c r="J22" s="4">
        <f t="shared" si="11"/>
        <v>208.63333333333333</v>
      </c>
      <c r="K22" s="4">
        <f t="shared" si="11"/>
        <v>230.56666666666669</v>
      </c>
      <c r="L22" s="4">
        <f t="shared" si="11"/>
        <v>27.266238401142044</v>
      </c>
      <c r="M22" s="4">
        <f t="shared" si="11"/>
        <v>12.733333333333334</v>
      </c>
    </row>
    <row r="23" spans="3:13" x14ac:dyDescent="0.25">
      <c r="C23" s="9"/>
      <c r="D23" s="10" t="s">
        <v>19</v>
      </c>
      <c r="E23" s="9">
        <f t="shared" ref="E23:M23" si="12">_xlfn.STDEV.S(E19:E21)</f>
        <v>7.2111025509280099E-2</v>
      </c>
      <c r="F23" s="9">
        <f t="shared" si="12"/>
        <v>3.2145502536643257E-2</v>
      </c>
      <c r="G23" s="9">
        <f t="shared" si="12"/>
        <v>8.1445278152471226E-2</v>
      </c>
      <c r="H23" s="9">
        <f t="shared" si="12"/>
        <v>2.332031973654081E-2</v>
      </c>
      <c r="I23" s="9">
        <f t="shared" si="12"/>
        <v>0.5</v>
      </c>
      <c r="J23" s="9">
        <f t="shared" si="12"/>
        <v>0.55075705472861158</v>
      </c>
      <c r="K23" s="9">
        <f t="shared" si="12"/>
        <v>0.5131601439446869</v>
      </c>
      <c r="L23" s="9">
        <f t="shared" si="12"/>
        <v>0.44575289067797441</v>
      </c>
      <c r="M23" s="9">
        <f t="shared" si="12"/>
        <v>0.20816659994661352</v>
      </c>
    </row>
    <row r="24" spans="3:13" x14ac:dyDescent="0.25">
      <c r="C24" s="11"/>
      <c r="D24" s="12" t="s">
        <v>20</v>
      </c>
      <c r="E24" s="11">
        <f t="shared" ref="E24:M24" si="13">_xlfn.STDEV.S(E19:E21)/(SQRT(COUNTA(E19:E21)))</f>
        <v>4.1633319989322841E-2</v>
      </c>
      <c r="F24" s="11">
        <f t="shared" si="13"/>
        <v>1.8559214542766784E-2</v>
      </c>
      <c r="G24" s="11">
        <f t="shared" si="13"/>
        <v>4.702245326555321E-2</v>
      </c>
      <c r="H24" s="11">
        <f t="shared" si="13"/>
        <v>1.346399287747998E-2</v>
      </c>
      <c r="I24" s="11">
        <f t="shared" si="13"/>
        <v>0.28867513459481292</v>
      </c>
      <c r="J24" s="11">
        <f t="shared" si="13"/>
        <v>0.31797973380564937</v>
      </c>
      <c r="K24" s="11">
        <f t="shared" si="13"/>
        <v>0.29627314724385212</v>
      </c>
      <c r="L24" s="11">
        <f t="shared" si="13"/>
        <v>0.25735555142498234</v>
      </c>
      <c r="M24" s="11">
        <f t="shared" si="13"/>
        <v>0.12018504251546645</v>
      </c>
    </row>
    <row r="25" spans="3:13" x14ac:dyDescent="0.25">
      <c r="C25" s="5">
        <v>10</v>
      </c>
      <c r="D25" s="8" t="s">
        <v>28</v>
      </c>
      <c r="E25" s="5">
        <v>5.37</v>
      </c>
      <c r="F25" s="5">
        <v>2.33</v>
      </c>
      <c r="G25" s="5">
        <f>SUM(E25,-F25)</f>
        <v>3.04</v>
      </c>
      <c r="H25" s="5">
        <f t="shared" si="1"/>
        <v>0.76644736842105265</v>
      </c>
      <c r="I25" s="5">
        <v>70</v>
      </c>
      <c r="J25" s="7">
        <v>202.6</v>
      </c>
      <c r="K25" s="5">
        <v>219.6</v>
      </c>
      <c r="L25" s="5">
        <f t="shared" si="2"/>
        <v>25.267665952890791</v>
      </c>
      <c r="M25" s="5">
        <v>11.8</v>
      </c>
    </row>
    <row r="26" spans="3:13" x14ac:dyDescent="0.25">
      <c r="C26" s="5">
        <v>11</v>
      </c>
      <c r="D26" s="8" t="s">
        <v>29</v>
      </c>
      <c r="E26" s="5">
        <v>5.47</v>
      </c>
      <c r="F26" s="5">
        <v>2.36</v>
      </c>
      <c r="G26" s="5">
        <f t="shared" ref="G26:G27" si="14">SUM(E26,-F26)</f>
        <v>3.11</v>
      </c>
      <c r="H26" s="5">
        <f t="shared" si="1"/>
        <v>0.7588424437299035</v>
      </c>
      <c r="I26" s="5">
        <v>69.599999999999994</v>
      </c>
      <c r="J26" s="7">
        <v>201.1</v>
      </c>
      <c r="K26" s="5">
        <v>219</v>
      </c>
      <c r="L26" s="5">
        <f t="shared" si="2"/>
        <v>25.053533190578154</v>
      </c>
      <c r="M26" s="5">
        <v>11.7</v>
      </c>
    </row>
    <row r="27" spans="3:13" x14ac:dyDescent="0.25">
      <c r="C27" s="5">
        <v>12</v>
      </c>
      <c r="D27" s="8" t="s">
        <v>30</v>
      </c>
      <c r="E27" s="5">
        <v>5.5</v>
      </c>
      <c r="F27" s="5">
        <v>2.2999999999999998</v>
      </c>
      <c r="G27" s="5">
        <f t="shared" si="14"/>
        <v>3.2</v>
      </c>
      <c r="H27" s="5">
        <f t="shared" si="1"/>
        <v>0.71874999999999989</v>
      </c>
      <c r="I27" s="5">
        <v>69</v>
      </c>
      <c r="J27" s="7">
        <v>202</v>
      </c>
      <c r="K27" s="5">
        <v>220</v>
      </c>
      <c r="L27" s="5">
        <f t="shared" si="2"/>
        <v>25.695931477516059</v>
      </c>
      <c r="M27" s="5">
        <v>12</v>
      </c>
    </row>
    <row r="28" spans="3:13" x14ac:dyDescent="0.25">
      <c r="C28" s="4"/>
      <c r="D28" s="1" t="s">
        <v>18</v>
      </c>
      <c r="E28" s="4">
        <f t="shared" ref="E28:M28" si="15">AVERAGE(E25:E27)</f>
        <v>5.4466666666666663</v>
      </c>
      <c r="F28" s="4">
        <f t="shared" si="15"/>
        <v>2.3299999999999996</v>
      </c>
      <c r="G28" s="4">
        <f t="shared" si="15"/>
        <v>3.1166666666666671</v>
      </c>
      <c r="H28" s="4">
        <f t="shared" si="15"/>
        <v>0.74801327071698542</v>
      </c>
      <c r="I28" s="4">
        <f t="shared" si="15"/>
        <v>69.533333333333331</v>
      </c>
      <c r="J28" s="4">
        <f t="shared" si="15"/>
        <v>201.9</v>
      </c>
      <c r="K28" s="4">
        <f t="shared" si="15"/>
        <v>219.53333333333333</v>
      </c>
      <c r="L28" s="4">
        <f t="shared" si="15"/>
        <v>25.339043540328333</v>
      </c>
      <c r="M28" s="4">
        <f t="shared" si="15"/>
        <v>11.833333333333334</v>
      </c>
    </row>
    <row r="29" spans="3:13" x14ac:dyDescent="0.25">
      <c r="C29" s="9"/>
      <c r="D29" s="10" t="s">
        <v>19</v>
      </c>
      <c r="E29" s="9">
        <f t="shared" ref="E29:M29" si="16">_xlfn.STDEV.S(E25:E27)</f>
        <v>6.8068592855540358E-2</v>
      </c>
      <c r="F29" s="9">
        <f t="shared" si="16"/>
        <v>3.0000000000000027E-2</v>
      </c>
      <c r="G29" s="9">
        <f t="shared" si="16"/>
        <v>8.0208062770106517E-2</v>
      </c>
      <c r="H29" s="9">
        <f t="shared" si="16"/>
        <v>2.562641175976841E-2</v>
      </c>
      <c r="I29" s="9">
        <f t="shared" si="16"/>
        <v>0.50332229568471631</v>
      </c>
      <c r="J29" s="9">
        <f t="shared" si="16"/>
        <v>0.75498344352707536</v>
      </c>
      <c r="K29" s="9">
        <f t="shared" si="16"/>
        <v>0.50332229568471631</v>
      </c>
      <c r="L29" s="9">
        <f t="shared" si="16"/>
        <v>0.32709319735587855</v>
      </c>
      <c r="M29" s="9">
        <f t="shared" si="16"/>
        <v>0.15275252316519491</v>
      </c>
    </row>
    <row r="30" spans="3:13" x14ac:dyDescent="0.25">
      <c r="C30" s="11"/>
      <c r="D30" s="12" t="s">
        <v>20</v>
      </c>
      <c r="E30" s="11">
        <f t="shared" ref="E30:M30" si="17">_xlfn.STDEV.S(E25:E27)/(SQRT(COUNTA(E25:E27)))</f>
        <v>3.9299420408505266E-2</v>
      </c>
      <c r="F30" s="11">
        <f t="shared" si="17"/>
        <v>1.732050807568879E-2</v>
      </c>
      <c r="G30" s="11">
        <f t="shared" si="17"/>
        <v>4.6308146631499403E-2</v>
      </c>
      <c r="H30" s="11">
        <f t="shared" si="17"/>
        <v>1.4795415727866483E-2</v>
      </c>
      <c r="I30" s="11">
        <f t="shared" si="17"/>
        <v>0.29059326290271137</v>
      </c>
      <c r="J30" s="11">
        <f t="shared" si="17"/>
        <v>0.43588989435406761</v>
      </c>
      <c r="K30" s="11">
        <f t="shared" si="17"/>
        <v>0.29059326290271137</v>
      </c>
      <c r="L30" s="11">
        <f t="shared" si="17"/>
        <v>0.18884734554351187</v>
      </c>
      <c r="M30" s="11">
        <f t="shared" si="17"/>
        <v>8.8191710368819828E-2</v>
      </c>
    </row>
    <row r="31" spans="3:13" x14ac:dyDescent="0.25">
      <c r="C31" s="5"/>
      <c r="D31" s="8" t="s">
        <v>31</v>
      </c>
      <c r="E31" s="5"/>
      <c r="F31" s="5"/>
      <c r="G31" s="5"/>
      <c r="H31" s="5"/>
      <c r="I31" s="5"/>
      <c r="J31" s="5"/>
      <c r="K31" s="5"/>
      <c r="L31" s="5"/>
      <c r="M31" s="5"/>
    </row>
    <row r="32" spans="3:13" x14ac:dyDescent="0.25">
      <c r="C32" s="5">
        <v>13</v>
      </c>
      <c r="D32" s="8" t="s">
        <v>32</v>
      </c>
      <c r="E32" s="5">
        <v>6.1</v>
      </c>
      <c r="F32" s="5">
        <v>2.5</v>
      </c>
      <c r="G32" s="5">
        <f>SUM(E32,-F32)</f>
        <v>3.5999999999999996</v>
      </c>
      <c r="H32" s="5">
        <f t="shared" si="1"/>
        <v>0.69444444444444453</v>
      </c>
      <c r="I32" s="5">
        <v>79.8</v>
      </c>
      <c r="J32" s="7">
        <v>213.8</v>
      </c>
      <c r="K32" s="5">
        <v>250.4</v>
      </c>
      <c r="L32" s="5">
        <f t="shared" si="2"/>
        <v>30.599571734475372</v>
      </c>
      <c r="M32" s="5">
        <v>14.29</v>
      </c>
    </row>
    <row r="33" spans="3:13" x14ac:dyDescent="0.25">
      <c r="C33" s="5">
        <v>14</v>
      </c>
      <c r="D33" s="8" t="s">
        <v>33</v>
      </c>
      <c r="E33" s="5">
        <v>6.15</v>
      </c>
      <c r="F33" s="5">
        <v>2.4700000000000002</v>
      </c>
      <c r="G33" s="5">
        <f t="shared" ref="G33:G34" si="18">SUM(E33,-F33)</f>
        <v>3.68</v>
      </c>
      <c r="H33" s="5">
        <f t="shared" si="1"/>
        <v>0.67119565217391308</v>
      </c>
      <c r="I33" s="5">
        <v>79</v>
      </c>
      <c r="J33" s="7">
        <v>214</v>
      </c>
      <c r="K33" s="5">
        <v>250.7</v>
      </c>
      <c r="L33" s="5">
        <f t="shared" si="2"/>
        <v>30.406852248393999</v>
      </c>
      <c r="M33" s="5">
        <v>14.2</v>
      </c>
    </row>
    <row r="34" spans="3:13" x14ac:dyDescent="0.25">
      <c r="C34" s="5">
        <v>15</v>
      </c>
      <c r="D34" s="8" t="s">
        <v>34</v>
      </c>
      <c r="E34" s="5">
        <v>6.03</v>
      </c>
      <c r="F34" s="5">
        <v>2.44</v>
      </c>
      <c r="G34" s="5">
        <f t="shared" si="18"/>
        <v>3.5900000000000003</v>
      </c>
      <c r="H34" s="5">
        <f t="shared" si="1"/>
        <v>0.67966573816155984</v>
      </c>
      <c r="I34" s="5">
        <v>78.900000000000006</v>
      </c>
      <c r="J34" s="7">
        <v>213.1</v>
      </c>
      <c r="K34" s="5">
        <v>250</v>
      </c>
      <c r="L34" s="5">
        <f>(M34/0.467)</f>
        <v>31.905781584582439</v>
      </c>
      <c r="M34" s="5">
        <v>14.9</v>
      </c>
    </row>
    <row r="35" spans="3:13" x14ac:dyDescent="0.25">
      <c r="C35" s="4"/>
      <c r="D35" s="1" t="s">
        <v>18</v>
      </c>
      <c r="E35" s="4">
        <f t="shared" ref="E35:M35" si="19">AVERAGE(E32:E34)</f>
        <v>6.0933333333333337</v>
      </c>
      <c r="F35" s="4">
        <f t="shared" si="19"/>
        <v>2.4700000000000002</v>
      </c>
      <c r="G35" s="4">
        <f t="shared" si="19"/>
        <v>3.6233333333333331</v>
      </c>
      <c r="H35" s="4">
        <f t="shared" si="19"/>
        <v>0.68176861159330582</v>
      </c>
      <c r="I35" s="4">
        <f t="shared" si="19"/>
        <v>79.233333333333334</v>
      </c>
      <c r="J35" s="4">
        <f t="shared" si="19"/>
        <v>213.63333333333333</v>
      </c>
      <c r="K35" s="4">
        <f t="shared" si="19"/>
        <v>250.36666666666667</v>
      </c>
      <c r="L35" s="4">
        <f t="shared" si="19"/>
        <v>30.970735189150602</v>
      </c>
      <c r="M35" s="4">
        <f t="shared" si="19"/>
        <v>14.463333333333333</v>
      </c>
    </row>
    <row r="36" spans="3:13" x14ac:dyDescent="0.25">
      <c r="C36" s="9"/>
      <c r="D36" s="10" t="s">
        <v>19</v>
      </c>
      <c r="E36" s="9">
        <f t="shared" ref="E36:M36" si="20">_xlfn.STDEV.S(E32:E34)</f>
        <v>6.0277137733417099E-2</v>
      </c>
      <c r="F36" s="9">
        <f t="shared" si="20"/>
        <v>3.0000000000000027E-2</v>
      </c>
      <c r="G36" s="9">
        <f t="shared" si="20"/>
        <v>4.9328828623162548E-2</v>
      </c>
      <c r="H36" s="9">
        <f t="shared" si="20"/>
        <v>1.176618642602768E-2</v>
      </c>
      <c r="I36" s="9">
        <f t="shared" si="20"/>
        <v>0.49328828623162119</v>
      </c>
      <c r="J36" s="9">
        <f t="shared" si="20"/>
        <v>0.47258156262526607</v>
      </c>
      <c r="K36" s="9">
        <f t="shared" si="20"/>
        <v>0.3511884584284195</v>
      </c>
      <c r="L36" s="9">
        <f t="shared" si="20"/>
        <v>0.81548698413059795</v>
      </c>
      <c r="M36" s="9">
        <f t="shared" si="20"/>
        <v>0.3808324215889895</v>
      </c>
    </row>
    <row r="37" spans="3:13" x14ac:dyDescent="0.25">
      <c r="C37" s="11"/>
      <c r="D37" s="12" t="s">
        <v>20</v>
      </c>
      <c r="E37" s="11">
        <f t="shared" ref="E37:L37" si="21">_xlfn.STDEV.S(E32:E34)/(SQRT(COUNTA(E32:E34)))</f>
        <v>3.4801021696368513E-2</v>
      </c>
      <c r="F37" s="11">
        <f t="shared" si="21"/>
        <v>1.732050807568879E-2</v>
      </c>
      <c r="G37" s="11">
        <f t="shared" si="21"/>
        <v>2.8480012484391814E-2</v>
      </c>
      <c r="H37" s="11">
        <f t="shared" si="21"/>
        <v>6.793210900402402E-3</v>
      </c>
      <c r="I37" s="11">
        <f t="shared" si="21"/>
        <v>0.28480012484391565</v>
      </c>
      <c r="J37" s="11">
        <f t="shared" si="21"/>
        <v>0.27284509239575139</v>
      </c>
      <c r="K37" s="11">
        <f t="shared" si="21"/>
        <v>0.2027587510099377</v>
      </c>
      <c r="L37" s="11">
        <f t="shared" si="21"/>
        <v>0.47082162980843684</v>
      </c>
      <c r="M37" s="11">
        <f>_xlfn.STDEV.S(M32:M34)/(SQRT(COUNTA(M32:M33)))</f>
        <v>0.26928918780126859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for Serum Profile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2015-06-05T18:17:20Z</dcterms:created>
  <dcterms:modified xsi:type="dcterms:W3CDTF">2021-06-03T13:54:37Z</dcterms:modified>
</cp:coreProperties>
</file>