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terinaria UGTO\MIS ARTICULOS\CREACIÓN\2026\ENVIADOS\Animal Elsevier 1er Alex\Stat Data Análisis\Mendeley Data\"/>
    </mc:Choice>
  </mc:AlternateContent>
  <xr:revisionPtr revIDLastSave="0" documentId="13_ncr:1_{33E962BD-361A-4B68-848E-DF45335CF08D}" xr6:coauthVersionLast="47" xr6:coauthVersionMax="47" xr10:uidLastSave="{00000000-0000-0000-0000-000000000000}"/>
  <bookViews>
    <workbookView xWindow="22932" yWindow="-108" windowWidth="16536" windowHeight="8712" activeTab="3" xr2:uid="{EAD2B87D-9F09-4EE3-B486-618B20CB28AA}"/>
  </bookViews>
  <sheets>
    <sheet name="Time" sheetId="1" r:id="rId1"/>
    <sheet name="Graphics" sheetId="6" r:id="rId2"/>
    <sheet name="Induction Freq" sheetId="2" r:id="rId3"/>
    <sheet name="Recovery Freq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Q4" i="7"/>
  <c r="R4" i="7"/>
  <c r="S4" i="7"/>
  <c r="T4" i="7"/>
  <c r="U4" i="7"/>
  <c r="V4" i="7"/>
  <c r="Q5" i="7"/>
  <c r="R5" i="7"/>
  <c r="S5" i="7"/>
  <c r="T5" i="7"/>
  <c r="U5" i="7"/>
  <c r="V5" i="7"/>
  <c r="Q6" i="7"/>
  <c r="R6" i="7"/>
  <c r="S6" i="7"/>
  <c r="T6" i="7"/>
  <c r="U6" i="7"/>
  <c r="V6" i="7"/>
  <c r="Q7" i="7"/>
  <c r="R7" i="7"/>
  <c r="S7" i="7"/>
  <c r="T7" i="7"/>
  <c r="U7" i="7"/>
  <c r="V7" i="7"/>
  <c r="Q8" i="7"/>
  <c r="R8" i="7"/>
  <c r="S8" i="7"/>
  <c r="T8" i="7"/>
  <c r="U8" i="7"/>
  <c r="V8" i="7"/>
  <c r="Q9" i="7"/>
  <c r="R9" i="7"/>
  <c r="S9" i="7"/>
  <c r="T9" i="7"/>
  <c r="U9" i="7"/>
  <c r="V9" i="7"/>
  <c r="Q10" i="7"/>
  <c r="R10" i="7"/>
  <c r="S10" i="7"/>
  <c r="T10" i="7"/>
  <c r="U10" i="7"/>
  <c r="V10" i="7"/>
  <c r="Q11" i="7"/>
  <c r="R11" i="7"/>
  <c r="S11" i="7"/>
  <c r="T11" i="7"/>
  <c r="U11" i="7"/>
  <c r="V11" i="7"/>
  <c r="Q12" i="7"/>
  <c r="R12" i="7"/>
  <c r="S12" i="7"/>
  <c r="T12" i="7"/>
  <c r="U12" i="7"/>
  <c r="V12" i="7"/>
  <c r="Q13" i="7"/>
  <c r="R13" i="7"/>
  <c r="S13" i="7"/>
  <c r="T13" i="7"/>
  <c r="U13" i="7"/>
  <c r="V13" i="7"/>
  <c r="Q14" i="7"/>
  <c r="R14" i="7"/>
  <c r="S14" i="7"/>
  <c r="T14" i="7"/>
  <c r="U14" i="7"/>
  <c r="V14" i="7"/>
  <c r="Q15" i="7"/>
  <c r="R15" i="7"/>
  <c r="S15" i="7"/>
  <c r="T15" i="7"/>
  <c r="U15" i="7"/>
  <c r="V15" i="7"/>
  <c r="Q16" i="7"/>
  <c r="R16" i="7"/>
  <c r="S16" i="7"/>
  <c r="T16" i="7"/>
  <c r="U16" i="7"/>
  <c r="V16" i="7"/>
  <c r="Q17" i="7"/>
  <c r="R17" i="7"/>
  <c r="S17" i="7"/>
  <c r="T17" i="7"/>
  <c r="U17" i="7"/>
  <c r="V17" i="7"/>
  <c r="Q18" i="7"/>
  <c r="R18" i="7"/>
  <c r="S18" i="7"/>
  <c r="T18" i="7"/>
  <c r="U18" i="7"/>
  <c r="V18" i="7"/>
  <c r="Q19" i="7"/>
  <c r="R19" i="7"/>
  <c r="S19" i="7"/>
  <c r="T19" i="7"/>
  <c r="U19" i="7"/>
  <c r="V19" i="7"/>
  <c r="Q20" i="7"/>
  <c r="R20" i="7"/>
  <c r="S20" i="7"/>
  <c r="T20" i="7"/>
  <c r="U20" i="7"/>
  <c r="V20" i="7"/>
  <c r="Q21" i="7"/>
  <c r="R21" i="7"/>
  <c r="S21" i="7"/>
  <c r="T21" i="7"/>
  <c r="U21" i="7"/>
  <c r="V21" i="7"/>
  <c r="Q22" i="7"/>
  <c r="R22" i="7"/>
  <c r="S22" i="7"/>
  <c r="T22" i="7"/>
  <c r="U22" i="7"/>
  <c r="V22" i="7"/>
  <c r="Q23" i="7"/>
  <c r="R23" i="7"/>
  <c r="S23" i="7"/>
  <c r="T23" i="7"/>
  <c r="U23" i="7"/>
  <c r="V23" i="7"/>
  <c r="Q24" i="7"/>
  <c r="R24" i="7"/>
  <c r="S24" i="7"/>
  <c r="T24" i="7"/>
  <c r="U24" i="7"/>
  <c r="V24" i="7"/>
  <c r="Q25" i="7"/>
  <c r="R25" i="7"/>
  <c r="S25" i="7"/>
  <c r="T25" i="7"/>
  <c r="U25" i="7"/>
  <c r="V25" i="7"/>
  <c r="Q26" i="7"/>
  <c r="R26" i="7"/>
  <c r="S26" i="7"/>
  <c r="T26" i="7"/>
  <c r="U26" i="7"/>
  <c r="V26" i="7"/>
  <c r="Q27" i="7"/>
  <c r="R27" i="7"/>
  <c r="S27" i="7"/>
  <c r="T27" i="7"/>
  <c r="U27" i="7"/>
  <c r="V27" i="7"/>
  <c r="Q28" i="7"/>
  <c r="R28" i="7"/>
  <c r="S28" i="7"/>
  <c r="T28" i="7"/>
  <c r="U28" i="7"/>
  <c r="V28" i="7"/>
  <c r="Q29" i="7"/>
  <c r="R29" i="7"/>
  <c r="S29" i="7"/>
  <c r="T29" i="7"/>
  <c r="U29" i="7"/>
  <c r="V29" i="7"/>
  <c r="Q30" i="7"/>
  <c r="R30" i="7"/>
  <c r="S30" i="7"/>
  <c r="T30" i="7"/>
  <c r="U30" i="7"/>
  <c r="V30" i="7"/>
  <c r="Q31" i="7"/>
  <c r="R31" i="7"/>
  <c r="S31" i="7"/>
  <c r="T31" i="7"/>
  <c r="U31" i="7"/>
  <c r="V31" i="7"/>
  <c r="Q32" i="7"/>
  <c r="R32" i="7"/>
  <c r="S32" i="7"/>
  <c r="T32" i="7"/>
  <c r="U32" i="7"/>
  <c r="V32" i="7"/>
  <c r="Q33" i="7"/>
  <c r="R33" i="7"/>
  <c r="S33" i="7"/>
  <c r="T33" i="7"/>
  <c r="U33" i="7"/>
  <c r="V33" i="7"/>
  <c r="Q34" i="7"/>
  <c r="R34" i="7"/>
  <c r="S34" i="7"/>
  <c r="T34" i="7"/>
  <c r="U34" i="7"/>
  <c r="V34" i="7"/>
  <c r="Q35" i="7"/>
  <c r="R35" i="7"/>
  <c r="S35" i="7"/>
  <c r="T35" i="7"/>
  <c r="U35" i="7"/>
  <c r="V35" i="7"/>
  <c r="Q36" i="7"/>
  <c r="R36" i="7"/>
  <c r="S36" i="7"/>
  <c r="T36" i="7"/>
  <c r="U36" i="7"/>
  <c r="V36" i="7"/>
  <c r="Q37" i="7"/>
  <c r="R37" i="7"/>
  <c r="S37" i="7"/>
  <c r="T37" i="7"/>
  <c r="U37" i="7"/>
  <c r="V37" i="7"/>
  <c r="Q38" i="7"/>
  <c r="R38" i="7"/>
  <c r="S38" i="7"/>
  <c r="T38" i="7"/>
  <c r="U38" i="7"/>
  <c r="V38" i="7"/>
  <c r="R3" i="7"/>
  <c r="S3" i="7"/>
  <c r="T3" i="7"/>
  <c r="U3" i="7"/>
  <c r="V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" i="7"/>
  <c r="P3" i="7"/>
  <c r="Q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" i="7"/>
  <c r="J27" i="7"/>
  <c r="K27" i="7"/>
  <c r="J26" i="7"/>
  <c r="K26" i="7"/>
  <c r="I27" i="7"/>
  <c r="I26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M3" i="7"/>
  <c r="O2" i="7"/>
  <c r="P2" i="7" s="1"/>
  <c r="Q2" i="7" s="1"/>
  <c r="R2" i="7" s="1"/>
  <c r="S2" i="7" s="1"/>
  <c r="T2" i="7" s="1"/>
  <c r="U2" i="7" s="1"/>
  <c r="V2" i="7" s="1"/>
  <c r="D2" i="7"/>
  <c r="E2" i="7" s="1"/>
  <c r="F2" i="7" s="1"/>
  <c r="G2" i="7" s="1"/>
  <c r="H2" i="7" s="1"/>
  <c r="I2" i="7" s="1"/>
  <c r="J2" i="7" s="1"/>
  <c r="K2" i="7" s="1"/>
  <c r="N4" i="2"/>
  <c r="O4" i="2"/>
  <c r="P4" i="2"/>
  <c r="Q4" i="2"/>
  <c r="R4" i="2"/>
  <c r="S4" i="2"/>
  <c r="T4" i="2"/>
  <c r="U4" i="2"/>
  <c r="V4" i="2"/>
  <c r="N5" i="2"/>
  <c r="O5" i="2"/>
  <c r="P5" i="2"/>
  <c r="Q5" i="2"/>
  <c r="R5" i="2"/>
  <c r="S5" i="2"/>
  <c r="T5" i="2"/>
  <c r="U5" i="2"/>
  <c r="V5" i="2"/>
  <c r="N6" i="2"/>
  <c r="O6" i="2"/>
  <c r="P6" i="2"/>
  <c r="Q6" i="2"/>
  <c r="R6" i="2"/>
  <c r="S6" i="2"/>
  <c r="T6" i="2"/>
  <c r="U6" i="2"/>
  <c r="V6" i="2"/>
  <c r="N7" i="2"/>
  <c r="O7" i="2"/>
  <c r="P7" i="2"/>
  <c r="Q7" i="2"/>
  <c r="R7" i="2"/>
  <c r="S7" i="2"/>
  <c r="T7" i="2"/>
  <c r="U7" i="2"/>
  <c r="N8" i="2"/>
  <c r="O8" i="2"/>
  <c r="P8" i="2"/>
  <c r="Q8" i="2"/>
  <c r="R8" i="2"/>
  <c r="S8" i="2"/>
  <c r="T8" i="2"/>
  <c r="U8" i="2"/>
  <c r="V8" i="2"/>
  <c r="N9" i="2"/>
  <c r="O9" i="2"/>
  <c r="P9" i="2"/>
  <c r="Q9" i="2"/>
  <c r="R9" i="2"/>
  <c r="S9" i="2"/>
  <c r="T9" i="2"/>
  <c r="U9" i="2"/>
  <c r="V9" i="2"/>
  <c r="N10" i="2"/>
  <c r="O10" i="2"/>
  <c r="P10" i="2"/>
  <c r="Q10" i="2"/>
  <c r="R10" i="2"/>
  <c r="S10" i="2"/>
  <c r="T10" i="2"/>
  <c r="U10" i="2"/>
  <c r="V10" i="2"/>
  <c r="N11" i="2"/>
  <c r="O11" i="2"/>
  <c r="P11" i="2"/>
  <c r="Q11" i="2"/>
  <c r="R11" i="2"/>
  <c r="S11" i="2"/>
  <c r="T11" i="2"/>
  <c r="U11" i="2"/>
  <c r="V11" i="2"/>
  <c r="N12" i="2"/>
  <c r="O12" i="2"/>
  <c r="P12" i="2"/>
  <c r="Q12" i="2"/>
  <c r="R12" i="2"/>
  <c r="S12" i="2"/>
  <c r="T12" i="2"/>
  <c r="U12" i="2"/>
  <c r="V12" i="2"/>
  <c r="N13" i="2"/>
  <c r="O13" i="2"/>
  <c r="P13" i="2"/>
  <c r="Q13" i="2"/>
  <c r="R13" i="2"/>
  <c r="S13" i="2"/>
  <c r="T13" i="2"/>
  <c r="U13" i="2"/>
  <c r="N14" i="2"/>
  <c r="O14" i="2"/>
  <c r="P14" i="2"/>
  <c r="Q14" i="2"/>
  <c r="R14" i="2"/>
  <c r="S14" i="2"/>
  <c r="T14" i="2"/>
  <c r="U14" i="2"/>
  <c r="N15" i="2"/>
  <c r="O15" i="2"/>
  <c r="P15" i="2"/>
  <c r="Q15" i="2"/>
  <c r="R15" i="2"/>
  <c r="S15" i="2"/>
  <c r="T15" i="2"/>
  <c r="U15" i="2"/>
  <c r="N16" i="2"/>
  <c r="O16" i="2"/>
  <c r="P16" i="2"/>
  <c r="Q16" i="2"/>
  <c r="R16" i="2"/>
  <c r="S16" i="2"/>
  <c r="T16" i="2"/>
  <c r="U16" i="2"/>
  <c r="V16" i="2"/>
  <c r="N17" i="2"/>
  <c r="O17" i="2"/>
  <c r="P17" i="2"/>
  <c r="Q17" i="2"/>
  <c r="R17" i="2"/>
  <c r="N18" i="2"/>
  <c r="O18" i="2"/>
  <c r="P18" i="2"/>
  <c r="Q18" i="2"/>
  <c r="R18" i="2"/>
  <c r="S18" i="2"/>
  <c r="T18" i="2"/>
  <c r="U18" i="2"/>
  <c r="V18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2" i="2"/>
  <c r="O22" i="2"/>
  <c r="P22" i="2"/>
  <c r="Q22" i="2"/>
  <c r="R22" i="2"/>
  <c r="S22" i="2"/>
  <c r="T22" i="2"/>
  <c r="U22" i="2"/>
  <c r="V22" i="2"/>
  <c r="N23" i="2"/>
  <c r="O23" i="2"/>
  <c r="P23" i="2"/>
  <c r="Q23" i="2"/>
  <c r="R23" i="2"/>
  <c r="S23" i="2"/>
  <c r="N24" i="2"/>
  <c r="O24" i="2"/>
  <c r="P24" i="2"/>
  <c r="Q24" i="2"/>
  <c r="R24" i="2"/>
  <c r="S24" i="2"/>
  <c r="T24" i="2"/>
  <c r="U24" i="2"/>
  <c r="V24" i="2"/>
  <c r="N25" i="2"/>
  <c r="O25" i="2"/>
  <c r="P25" i="2"/>
  <c r="Q25" i="2"/>
  <c r="R25" i="2"/>
  <c r="S25" i="2"/>
  <c r="N26" i="2"/>
  <c r="O26" i="2"/>
  <c r="P26" i="2"/>
  <c r="Q26" i="2"/>
  <c r="R26" i="2"/>
  <c r="S26" i="2"/>
  <c r="N27" i="2"/>
  <c r="O27" i="2"/>
  <c r="P27" i="2"/>
  <c r="Q27" i="2"/>
  <c r="R27" i="2"/>
  <c r="S27" i="2"/>
  <c r="T27" i="2"/>
  <c r="U27" i="2"/>
  <c r="V27" i="2"/>
  <c r="N28" i="2"/>
  <c r="O28" i="2"/>
  <c r="P28" i="2"/>
  <c r="Q28" i="2"/>
  <c r="R28" i="2"/>
  <c r="S28" i="2"/>
  <c r="N29" i="2"/>
  <c r="O29" i="2"/>
  <c r="P29" i="2"/>
  <c r="Q29" i="2"/>
  <c r="R29" i="2"/>
  <c r="S29" i="2"/>
  <c r="T29" i="2"/>
  <c r="U29" i="2"/>
  <c r="V29" i="2"/>
  <c r="N30" i="2"/>
  <c r="O30" i="2"/>
  <c r="P30" i="2"/>
  <c r="Q30" i="2"/>
  <c r="R30" i="2"/>
  <c r="S30" i="2"/>
  <c r="T30" i="2"/>
  <c r="U30" i="2"/>
  <c r="V30" i="2"/>
  <c r="N31" i="2"/>
  <c r="O31" i="2"/>
  <c r="P31" i="2"/>
  <c r="Q31" i="2"/>
  <c r="R31" i="2"/>
  <c r="N32" i="2"/>
  <c r="O32" i="2"/>
  <c r="P32" i="2"/>
  <c r="Q32" i="2"/>
  <c r="R32" i="2"/>
  <c r="S32" i="2"/>
  <c r="T32" i="2"/>
  <c r="U32" i="2"/>
  <c r="N33" i="2"/>
  <c r="O33" i="2"/>
  <c r="P33" i="2"/>
  <c r="Q33" i="2"/>
  <c r="R33" i="2"/>
  <c r="S33" i="2"/>
  <c r="N34" i="2"/>
  <c r="O34" i="2"/>
  <c r="P34" i="2"/>
  <c r="Q34" i="2"/>
  <c r="R34" i="2"/>
  <c r="N35" i="2"/>
  <c r="O35" i="2"/>
  <c r="P35" i="2"/>
  <c r="Q35" i="2"/>
  <c r="R35" i="2"/>
  <c r="S35" i="2"/>
  <c r="N36" i="2"/>
  <c r="O36" i="2"/>
  <c r="P36" i="2"/>
  <c r="Q36" i="2"/>
  <c r="R36" i="2"/>
  <c r="S36" i="2"/>
  <c r="T36" i="2"/>
  <c r="U36" i="2"/>
  <c r="V36" i="2"/>
  <c r="N37" i="2"/>
  <c r="O37" i="2"/>
  <c r="P37" i="2"/>
  <c r="Q37" i="2"/>
  <c r="R37" i="2"/>
  <c r="N38" i="2"/>
  <c r="O38" i="2"/>
  <c r="P38" i="2"/>
  <c r="Q38" i="2"/>
  <c r="R38" i="2"/>
  <c r="S38" i="2"/>
  <c r="O3" i="2"/>
  <c r="P3" i="2"/>
  <c r="Q3" i="2"/>
  <c r="R3" i="2"/>
  <c r="S3" i="2"/>
  <c r="T3" i="2"/>
  <c r="U3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" i="2"/>
  <c r="O2" i="2"/>
  <c r="P2" i="2" s="1"/>
  <c r="Q2" i="2" s="1"/>
  <c r="R2" i="2" s="1"/>
  <c r="S2" i="2" s="1"/>
  <c r="T2" i="2" s="1"/>
  <c r="U2" i="2" s="1"/>
  <c r="V2" i="2" s="1"/>
  <c r="I38" i="2"/>
  <c r="J38" i="2" s="1"/>
  <c r="U38" i="2" s="1"/>
  <c r="I35" i="2"/>
  <c r="J35" i="2" s="1"/>
  <c r="K35" i="2" s="1"/>
  <c r="V35" i="2" s="1"/>
  <c r="I33" i="2"/>
  <c r="T33" i="2" s="1"/>
  <c r="I32" i="2"/>
  <c r="J32" i="2" s="1"/>
  <c r="I28" i="2"/>
  <c r="J28" i="2" s="1"/>
  <c r="K28" i="2" s="1"/>
  <c r="V28" i="2" s="1"/>
  <c r="I26" i="2"/>
  <c r="J26" i="2" s="1"/>
  <c r="U26" i="2" s="1"/>
  <c r="I25" i="2"/>
  <c r="J25" i="2" s="1"/>
  <c r="K25" i="2" s="1"/>
  <c r="V25" i="2" s="1"/>
  <c r="I23" i="2"/>
  <c r="J23" i="2" s="1"/>
  <c r="K23" i="2" s="1"/>
  <c r="V23" i="2" s="1"/>
  <c r="I18" i="2"/>
  <c r="J18" i="2" s="1"/>
  <c r="K18" i="2" s="1"/>
  <c r="I19" i="2"/>
  <c r="T19" i="2" s="1"/>
  <c r="I20" i="2"/>
  <c r="J20" i="2" s="1"/>
  <c r="K20" i="2" s="1"/>
  <c r="V20" i="2" s="1"/>
  <c r="I21" i="2"/>
  <c r="J21" i="2" s="1"/>
  <c r="K21" i="2" s="1"/>
  <c r="V21" i="2" s="1"/>
  <c r="D2" i="2"/>
  <c r="E2" i="2" s="1"/>
  <c r="F2" i="2" s="1"/>
  <c r="G2" i="2" s="1"/>
  <c r="H2" i="2" s="1"/>
  <c r="I2" i="2" s="1"/>
  <c r="J2" i="2" s="1"/>
  <c r="K2" i="2" s="1"/>
  <c r="G5" i="6"/>
  <c r="G6" i="6"/>
  <c r="G10" i="6"/>
  <c r="G11" i="6"/>
  <c r="G12" i="6"/>
  <c r="G16" i="6"/>
  <c r="G17" i="6"/>
  <c r="G18" i="6"/>
  <c r="N43" i="1"/>
  <c r="O43" i="1"/>
  <c r="N42" i="1"/>
  <c r="O42" i="1"/>
  <c r="O44" i="1"/>
  <c r="O41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" i="1"/>
  <c r="N44" i="1"/>
  <c r="N41" i="1"/>
  <c r="M41" i="1"/>
  <c r="M4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" i="1"/>
  <c r="M43" i="1"/>
  <c r="M42" i="1"/>
  <c r="I3" i="1"/>
  <c r="H37" i="2"/>
  <c r="S37" i="2" s="1"/>
  <c r="H34" i="2"/>
  <c r="I34" i="2" s="1"/>
  <c r="T34" i="2" s="1"/>
  <c r="K34" i="1"/>
  <c r="K35" i="1"/>
  <c r="K36" i="1"/>
  <c r="K37" i="1"/>
  <c r="K38" i="1"/>
  <c r="K33" i="1"/>
  <c r="J33" i="1"/>
  <c r="J34" i="1"/>
  <c r="J35" i="1"/>
  <c r="J36" i="1"/>
  <c r="J37" i="1"/>
  <c r="J38" i="1"/>
  <c r="I33" i="1"/>
  <c r="I34" i="1"/>
  <c r="I35" i="1"/>
  <c r="I36" i="1"/>
  <c r="I37" i="1"/>
  <c r="I38" i="1"/>
  <c r="H33" i="1"/>
  <c r="H34" i="1"/>
  <c r="H35" i="1"/>
  <c r="H36" i="1"/>
  <c r="H37" i="1"/>
  <c r="H38" i="1"/>
  <c r="G33" i="1"/>
  <c r="G34" i="1"/>
  <c r="G35" i="1"/>
  <c r="G36" i="1"/>
  <c r="G37" i="1"/>
  <c r="G38" i="1"/>
  <c r="H16" i="1"/>
  <c r="F3" i="1"/>
  <c r="F2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S34" i="2" l="1"/>
  <c r="U35" i="2"/>
  <c r="U25" i="2"/>
  <c r="U23" i="2"/>
  <c r="U21" i="2"/>
  <c r="J19" i="2"/>
  <c r="U19" i="2" s="1"/>
  <c r="T35" i="2"/>
  <c r="T25" i="2"/>
  <c r="T23" i="2"/>
  <c r="T21" i="2"/>
  <c r="U28" i="2"/>
  <c r="U20" i="2"/>
  <c r="T38" i="2"/>
  <c r="T28" i="2"/>
  <c r="T26" i="2"/>
  <c r="T20" i="2"/>
  <c r="K19" i="2"/>
  <c r="V19" i="2" s="1"/>
  <c r="I37" i="2"/>
  <c r="J33" i="2"/>
  <c r="J34" i="2"/>
  <c r="K32" i="2"/>
  <c r="V32" i="2" s="1"/>
  <c r="K26" i="2"/>
  <c r="V26" i="2" s="1"/>
  <c r="K38" i="2"/>
  <c r="V38" i="2" s="1"/>
  <c r="K3" i="2"/>
  <c r="V3" i="2" s="1"/>
  <c r="K14" i="2"/>
  <c r="V14" i="2" s="1"/>
  <c r="K15" i="2"/>
  <c r="V15" i="2" s="1"/>
  <c r="K13" i="2"/>
  <c r="V13" i="2" s="1"/>
  <c r="K7" i="2"/>
  <c r="V7" i="2" s="1"/>
  <c r="H31" i="2"/>
  <c r="S31" i="2" s="1"/>
  <c r="H17" i="2"/>
  <c r="S1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K3" i="1"/>
  <c r="J3" i="1"/>
  <c r="J37" i="2" l="1"/>
  <c r="T37" i="2"/>
  <c r="K34" i="2"/>
  <c r="V34" i="2" s="1"/>
  <c r="U34" i="2"/>
  <c r="K33" i="2"/>
  <c r="V33" i="2" s="1"/>
  <c r="U33" i="2"/>
  <c r="I17" i="2"/>
  <c r="T17" i="2" s="1"/>
  <c r="I31" i="2"/>
  <c r="T31" i="2" s="1"/>
  <c r="A5" i="1"/>
  <c r="F4" i="1"/>
  <c r="K41" i="1"/>
  <c r="J43" i="1"/>
  <c r="K42" i="1"/>
  <c r="J41" i="1"/>
  <c r="J42" i="1"/>
  <c r="K43" i="1"/>
  <c r="K37" i="2" l="1"/>
  <c r="V37" i="2" s="1"/>
  <c r="U37" i="2"/>
  <c r="J31" i="2"/>
  <c r="J17" i="2"/>
  <c r="A6" i="1"/>
  <c r="F5" i="1"/>
  <c r="K17" i="2" l="1"/>
  <c r="V17" i="2" s="1"/>
  <c r="U17" i="2"/>
  <c r="K31" i="2"/>
  <c r="V31" i="2" s="1"/>
  <c r="U31" i="2"/>
  <c r="A7" i="1"/>
  <c r="F6" i="1"/>
  <c r="A8" i="1" l="1"/>
  <c r="F7" i="1"/>
  <c r="A9" i="1" l="1"/>
  <c r="F8" i="1"/>
  <c r="A10" i="1" l="1"/>
  <c r="F9" i="1"/>
  <c r="A11" i="1" l="1"/>
  <c r="F10" i="1"/>
  <c r="A12" i="1" l="1"/>
  <c r="F11" i="1"/>
  <c r="A13" i="1" l="1"/>
  <c r="F12" i="1"/>
  <c r="A14" i="1" l="1"/>
  <c r="F13" i="1"/>
  <c r="A15" i="1" l="1"/>
  <c r="F14" i="1"/>
  <c r="A16" i="1" l="1"/>
  <c r="F15" i="1"/>
  <c r="A17" i="1" l="1"/>
  <c r="F16" i="1"/>
  <c r="A18" i="1" l="1"/>
  <c r="F17" i="1"/>
  <c r="A19" i="1" l="1"/>
  <c r="F18" i="1"/>
  <c r="A20" i="1" l="1"/>
  <c r="F19" i="1"/>
  <c r="A21" i="1" l="1"/>
  <c r="F20" i="1"/>
  <c r="A22" i="1" l="1"/>
  <c r="F21" i="1"/>
  <c r="A23" i="1" l="1"/>
  <c r="F22" i="1"/>
  <c r="A24" i="1" l="1"/>
  <c r="F23" i="1"/>
  <c r="A25" i="1" l="1"/>
  <c r="F24" i="1"/>
  <c r="A26" i="1" l="1"/>
  <c r="F25" i="1"/>
  <c r="A27" i="1" l="1"/>
  <c r="F26" i="1"/>
  <c r="A28" i="1" l="1"/>
  <c r="F27" i="1"/>
  <c r="A29" i="1" l="1"/>
  <c r="F28" i="1"/>
  <c r="A30" i="1" l="1"/>
  <c r="F29" i="1"/>
  <c r="A31" i="1" l="1"/>
  <c r="F30" i="1"/>
  <c r="A32" i="1" l="1"/>
  <c r="F31" i="1"/>
  <c r="A33" i="1" l="1"/>
  <c r="F33" i="1" s="1"/>
  <c r="F32" i="1"/>
  <c r="A34" i="1" l="1"/>
  <c r="F34" i="1" s="1"/>
  <c r="A35" i="1" l="1"/>
  <c r="F35" i="1" s="1"/>
  <c r="A36" i="1" l="1"/>
  <c r="F36" i="1" s="1"/>
  <c r="A37" i="1" l="1"/>
  <c r="F37" i="1" s="1"/>
  <c r="A38" i="1" l="1"/>
  <c r="F38" i="1" s="1"/>
</calcChain>
</file>

<file path=xl/sharedStrings.xml><?xml version="1.0" encoding="utf-8"?>
<sst xmlns="http://schemas.openxmlformats.org/spreadsheetml/2006/main" count="826" uniqueCount="36">
  <si>
    <t>No.</t>
  </si>
  <si>
    <t>Recuperación</t>
  </si>
  <si>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  <scheme val="minor"/>
      </rPr>
      <t>L/L</t>
    </r>
  </si>
  <si>
    <t>100/80</t>
  </si>
  <si>
    <t>100/60</t>
  </si>
  <si>
    <t>100/0</t>
  </si>
  <si>
    <t>promedio</t>
  </si>
  <si>
    <t>mínimo</t>
  </si>
  <si>
    <t>máximo</t>
  </si>
  <si>
    <t>Inducción</t>
  </si>
  <si>
    <t>fases de 60 segundos</t>
  </si>
  <si>
    <t>K</t>
  </si>
  <si>
    <t>AEC + Lido</t>
  </si>
  <si>
    <t>DE</t>
  </si>
  <si>
    <t>µL/L</t>
  </si>
  <si>
    <t>MEDIA</t>
  </si>
  <si>
    <t>Superior</t>
  </si>
  <si>
    <t>n = 12</t>
  </si>
  <si>
    <t>Treatment</t>
  </si>
  <si>
    <t>Fish</t>
  </si>
  <si>
    <t>Seconds</t>
  </si>
  <si>
    <t>Anesthesia</t>
  </si>
  <si>
    <t>Recovery</t>
  </si>
  <si>
    <t xml:space="preserve">Weight </t>
  </si>
  <si>
    <t>Height</t>
  </si>
  <si>
    <t>Lower</t>
  </si>
  <si>
    <t xml:space="preserve">Standard error </t>
  </si>
  <si>
    <t>Times in minutes</t>
  </si>
  <si>
    <t xml:space="preserve">Time in seconds </t>
  </si>
  <si>
    <t xml:space="preserve">Vertical Loss </t>
  </si>
  <si>
    <t xml:space="preserve"> Vertical Loss </t>
  </si>
  <si>
    <t>Recovery Freq</t>
  </si>
  <si>
    <t>Induction Freq</t>
  </si>
  <si>
    <t>Recovery Transformed</t>
  </si>
  <si>
    <t>CI 95%</t>
  </si>
  <si>
    <t xml:space="preserve"> 20-second interval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</si>
</sst>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0.000"/>
    <numFmt numFmtId="166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6" fontId="0" fillId="0" borderId="0" xfId="0" applyNumberFormat="1"/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al" xfId="0" builtinId="0"/>
    <cellStyle name="Normal 2" xfId="1" xr:uid="{2C670B70-60C4-411F-87F8-8924F694452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51531058617673"/>
                  <c:y val="-0.11773731408573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Time!$M$3:$M$38</c:f>
              <c:numCache>
                <c:formatCode>General</c:formatCode>
                <c:ptCount val="36"/>
                <c:pt idx="0">
                  <c:v>74.099999999999994</c:v>
                </c:pt>
                <c:pt idx="1">
                  <c:v>91.3</c:v>
                </c:pt>
                <c:pt idx="2">
                  <c:v>68.099999999999994</c:v>
                </c:pt>
                <c:pt idx="3">
                  <c:v>89</c:v>
                </c:pt>
                <c:pt idx="4">
                  <c:v>76.400000000000006</c:v>
                </c:pt>
                <c:pt idx="5">
                  <c:v>63.5</c:v>
                </c:pt>
                <c:pt idx="6">
                  <c:v>72.2</c:v>
                </c:pt>
                <c:pt idx="7">
                  <c:v>69.7</c:v>
                </c:pt>
                <c:pt idx="8">
                  <c:v>58</c:v>
                </c:pt>
                <c:pt idx="9">
                  <c:v>94.7</c:v>
                </c:pt>
                <c:pt idx="10">
                  <c:v>89.8</c:v>
                </c:pt>
                <c:pt idx="11">
                  <c:v>83.8</c:v>
                </c:pt>
                <c:pt idx="12">
                  <c:v>37.1</c:v>
                </c:pt>
                <c:pt idx="13">
                  <c:v>116.6</c:v>
                </c:pt>
                <c:pt idx="14">
                  <c:v>69.5</c:v>
                </c:pt>
                <c:pt idx="15">
                  <c:v>64.3</c:v>
                </c:pt>
                <c:pt idx="16">
                  <c:v>49.6</c:v>
                </c:pt>
                <c:pt idx="17">
                  <c:v>113.8</c:v>
                </c:pt>
                <c:pt idx="18">
                  <c:v>106.7</c:v>
                </c:pt>
                <c:pt idx="19">
                  <c:v>117.3</c:v>
                </c:pt>
                <c:pt idx="20">
                  <c:v>64.8</c:v>
                </c:pt>
                <c:pt idx="21">
                  <c:v>83.2</c:v>
                </c:pt>
                <c:pt idx="22">
                  <c:v>102.1</c:v>
                </c:pt>
                <c:pt idx="23">
                  <c:v>59.7</c:v>
                </c:pt>
                <c:pt idx="24">
                  <c:v>88.3</c:v>
                </c:pt>
                <c:pt idx="25">
                  <c:v>54.1</c:v>
                </c:pt>
                <c:pt idx="26">
                  <c:v>88.6</c:v>
                </c:pt>
                <c:pt idx="27">
                  <c:v>90.4</c:v>
                </c:pt>
                <c:pt idx="28">
                  <c:v>61.2</c:v>
                </c:pt>
                <c:pt idx="29">
                  <c:v>85</c:v>
                </c:pt>
                <c:pt idx="30">
                  <c:v>57.8</c:v>
                </c:pt>
                <c:pt idx="31">
                  <c:v>96.3</c:v>
                </c:pt>
                <c:pt idx="32">
                  <c:v>91.5</c:v>
                </c:pt>
                <c:pt idx="33">
                  <c:v>78.599999999999994</c:v>
                </c:pt>
                <c:pt idx="34">
                  <c:v>45.5</c:v>
                </c:pt>
                <c:pt idx="35">
                  <c:v>111.7</c:v>
                </c:pt>
              </c:numCache>
            </c:numRef>
          </c:xVal>
          <c:yVal>
            <c:numRef>
              <c:f>Time!$J$3:$J$38</c:f>
              <c:numCache>
                <c:formatCode>General</c:formatCode>
                <c:ptCount val="36"/>
                <c:pt idx="0">
                  <c:v>158</c:v>
                </c:pt>
                <c:pt idx="1">
                  <c:v>215</c:v>
                </c:pt>
                <c:pt idx="2">
                  <c:v>179</c:v>
                </c:pt>
                <c:pt idx="3">
                  <c:v>199.99999999999997</c:v>
                </c:pt>
                <c:pt idx="4">
                  <c:v>167</c:v>
                </c:pt>
                <c:pt idx="5">
                  <c:v>141</c:v>
                </c:pt>
                <c:pt idx="6">
                  <c:v>151</c:v>
                </c:pt>
                <c:pt idx="7">
                  <c:v>199.99999999999997</c:v>
                </c:pt>
                <c:pt idx="8">
                  <c:v>150</c:v>
                </c:pt>
                <c:pt idx="9">
                  <c:v>234.00000000000003</c:v>
                </c:pt>
                <c:pt idx="10">
                  <c:v>180</c:v>
                </c:pt>
                <c:pt idx="11">
                  <c:v>160.00000000000003</c:v>
                </c:pt>
                <c:pt idx="12">
                  <c:v>163</c:v>
                </c:pt>
                <c:pt idx="13">
                  <c:v>245.99999999999997</c:v>
                </c:pt>
                <c:pt idx="14">
                  <c:v>103</c:v>
                </c:pt>
                <c:pt idx="15">
                  <c:v>122.99999999999999</c:v>
                </c:pt>
                <c:pt idx="16">
                  <c:v>77</c:v>
                </c:pt>
                <c:pt idx="17">
                  <c:v>84</c:v>
                </c:pt>
                <c:pt idx="18">
                  <c:v>127</c:v>
                </c:pt>
                <c:pt idx="19">
                  <c:v>148</c:v>
                </c:pt>
                <c:pt idx="20">
                  <c:v>114.00000000000001</c:v>
                </c:pt>
                <c:pt idx="21">
                  <c:v>180</c:v>
                </c:pt>
                <c:pt idx="22">
                  <c:v>130</c:v>
                </c:pt>
                <c:pt idx="23">
                  <c:v>43</c:v>
                </c:pt>
                <c:pt idx="24">
                  <c:v>140</c:v>
                </c:pt>
                <c:pt idx="25">
                  <c:v>83.000000000000014</c:v>
                </c:pt>
                <c:pt idx="26">
                  <c:v>142.00000000000003</c:v>
                </c:pt>
                <c:pt idx="27">
                  <c:v>143</c:v>
                </c:pt>
                <c:pt idx="28">
                  <c:v>104</c:v>
                </c:pt>
                <c:pt idx="29">
                  <c:v>122.99999999999999</c:v>
                </c:pt>
                <c:pt idx="30">
                  <c:v>120</c:v>
                </c:pt>
                <c:pt idx="31">
                  <c:v>99.999999999999986</c:v>
                </c:pt>
                <c:pt idx="32">
                  <c:v>123.99999999999999</c:v>
                </c:pt>
                <c:pt idx="33">
                  <c:v>150</c:v>
                </c:pt>
                <c:pt idx="34">
                  <c:v>99.999999999999986</c:v>
                </c:pt>
                <c:pt idx="3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1-44B7-B406-D3C86BC3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023024"/>
        <c:axId val="384023504"/>
      </c:scatterChart>
      <c:valAx>
        <c:axId val="3840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4023504"/>
        <c:crosses val="autoZero"/>
        <c:crossBetween val="midCat"/>
      </c:valAx>
      <c:valAx>
        <c:axId val="3840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402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Graphics!$G$16:$G$18</c:f>
                <c:numCache>
                  <c:formatCode>General</c:formatCode>
                  <c:ptCount val="3"/>
                  <c:pt idx="0">
                    <c:v>21.290999999999997</c:v>
                  </c:pt>
                  <c:pt idx="1">
                    <c:v>21.555000000000007</c:v>
                  </c:pt>
                  <c:pt idx="2">
                    <c:v>21.510999999999996</c:v>
                  </c:pt>
                </c:numCache>
              </c:numRef>
            </c:plus>
            <c:minus>
              <c:numRef>
                <c:f>Graphics!$G$16:$G$18</c:f>
                <c:numCache>
                  <c:formatCode>General</c:formatCode>
                  <c:ptCount val="3"/>
                  <c:pt idx="0">
                    <c:v>21.290999999999997</c:v>
                  </c:pt>
                  <c:pt idx="1">
                    <c:v>21.555000000000007</c:v>
                  </c:pt>
                  <c:pt idx="2">
                    <c:v>21.510999999999996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Graphics!$C$16:$C$18</c:f>
              <c:numCache>
                <c:formatCode>General</c:formatCode>
                <c:ptCount val="3"/>
                <c:pt idx="0">
                  <c:v>178.81</c:v>
                </c:pt>
                <c:pt idx="1">
                  <c:v>204.012</c:v>
                </c:pt>
                <c:pt idx="2">
                  <c:v>197.34399999999999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F-4D7F-9EF8-76826C9C3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17391"/>
        <c:axId val="1660412591"/>
      </c:scatterChart>
      <c:valAx>
        <c:axId val="166041739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CEO                           </a:t>
                </a:r>
                <a:r>
                  <a:rPr lang="es-MX" baseline="0">
                    <a:solidFill>
                      <a:sysClr val="windowText" lastClr="000000"/>
                    </a:solidFill>
                  </a:rPr>
                  <a:t>CEO+Lid60                       CEO+Lid80</a:t>
                </a:r>
                <a:endParaRPr lang="es-MX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31666666666666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_);\(#,##0\)" sourceLinked="0"/>
        <c:majorTickMark val="out"/>
        <c:minorTickMark val="none"/>
        <c:tickLblPos val="nextTo"/>
        <c:crossAx val="1660412591"/>
        <c:crosses val="autoZero"/>
        <c:crossBetween val="midCat"/>
      </c:valAx>
      <c:valAx>
        <c:axId val="1660412591"/>
        <c:scaling>
          <c:orientation val="minMax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  <a:latin typeface="+mj-lt"/>
                  </a:rPr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s-MX"/>
          </a:p>
        </c:txPr>
        <c:crossAx val="166041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Graphics!$G$10:$G$12</c:f>
                <c:numCache>
                  <c:formatCode>General</c:formatCode>
                  <c:ptCount val="3"/>
                  <c:pt idx="0">
                    <c:v>23.969000000000008</c:v>
                  </c:pt>
                  <c:pt idx="1">
                    <c:v>24.266999999999996</c:v>
                  </c:pt>
                  <c:pt idx="2">
                    <c:v>24.21599999999998</c:v>
                  </c:pt>
                </c:numCache>
              </c:numRef>
            </c:plus>
            <c:minus>
              <c:numRef>
                <c:f>Graphics!$G$10:$G$12</c:f>
                <c:numCache>
                  <c:formatCode>General</c:formatCode>
                  <c:ptCount val="3"/>
                  <c:pt idx="0">
                    <c:v>23.969000000000008</c:v>
                  </c:pt>
                  <c:pt idx="1">
                    <c:v>24.266999999999996</c:v>
                  </c:pt>
                  <c:pt idx="2">
                    <c:v>24.21599999999998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Graphics!$C$10:$C$12</c:f>
              <c:numCache>
                <c:formatCode>General</c:formatCode>
                <c:ptCount val="3"/>
                <c:pt idx="0">
                  <c:v>121.075</c:v>
                </c:pt>
                <c:pt idx="1">
                  <c:v>150.31</c:v>
                </c:pt>
                <c:pt idx="2">
                  <c:v>155.44900000000001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E-4959-B453-0373A3F3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17391"/>
        <c:axId val="1660412591"/>
      </c:scatterChart>
      <c:valAx>
        <c:axId val="166041739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CEO                           </a:t>
                </a:r>
                <a:r>
                  <a:rPr lang="es-MX" baseline="0">
                    <a:solidFill>
                      <a:sysClr val="windowText" lastClr="000000"/>
                    </a:solidFill>
                  </a:rPr>
                  <a:t>CEO+Lid60                       CEO+Lid80</a:t>
                </a:r>
                <a:endParaRPr lang="es-MX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31666666666666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_);\(#,##0\)" sourceLinked="0"/>
        <c:majorTickMark val="out"/>
        <c:minorTickMark val="none"/>
        <c:tickLblPos val="nextTo"/>
        <c:crossAx val="1660412591"/>
        <c:crosses val="autoZero"/>
        <c:crossBetween val="midCat"/>
      </c:valAx>
      <c:valAx>
        <c:axId val="1660412591"/>
        <c:scaling>
          <c:orientation val="minMax"/>
          <c:max val="240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  <a:latin typeface="+mj-lt"/>
                  </a:rPr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s-MX"/>
          </a:p>
        </c:txPr>
        <c:crossAx val="166041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Graphics!$G$4:$G$6</c:f>
                <c:numCache>
                  <c:formatCode>General</c:formatCode>
                  <c:ptCount val="3"/>
                  <c:pt idx="0">
                    <c:v>10.716899999999995</c:v>
                  </c:pt>
                  <c:pt idx="1">
                    <c:v>10.849900000000005</c:v>
                  </c:pt>
                  <c:pt idx="2">
                    <c:v>10.827500000000001</c:v>
                  </c:pt>
                </c:numCache>
              </c:numRef>
            </c:plus>
            <c:minus>
              <c:numRef>
                <c:f>Graphics!$G$4:$G$6</c:f>
                <c:numCache>
                  <c:formatCode>General</c:formatCode>
                  <c:ptCount val="3"/>
                  <c:pt idx="0">
                    <c:v>10.716899999999995</c:v>
                  </c:pt>
                  <c:pt idx="1">
                    <c:v>10.849900000000005</c:v>
                  </c:pt>
                  <c:pt idx="2">
                    <c:v>10.827500000000001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Graphics!$C$4:$C$6</c:f>
              <c:numCache>
                <c:formatCode>General</c:formatCode>
                <c:ptCount val="3"/>
                <c:pt idx="0">
                  <c:v>64.330100000000002</c:v>
                </c:pt>
                <c:pt idx="1">
                  <c:v>71.590299999999999</c:v>
                </c:pt>
                <c:pt idx="2">
                  <c:v>66.912999999999997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D-49E5-BEF7-7E76605D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17391"/>
        <c:axId val="1660412591"/>
      </c:scatterChart>
      <c:valAx>
        <c:axId val="166041739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CEO                           </a:t>
                </a:r>
                <a:r>
                  <a:rPr lang="es-MX" baseline="0">
                    <a:solidFill>
                      <a:sysClr val="windowText" lastClr="000000"/>
                    </a:solidFill>
                  </a:rPr>
                  <a:t>CEO+Lid60                       CEO+Lid80</a:t>
                </a:r>
                <a:endParaRPr lang="es-MX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31666666666666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_);\(#,##0\)" sourceLinked="0"/>
        <c:majorTickMark val="out"/>
        <c:minorTickMark val="none"/>
        <c:tickLblPos val="nextTo"/>
        <c:crossAx val="1660412591"/>
        <c:crosses val="autoZero"/>
        <c:crossBetween val="midCat"/>
      </c:valAx>
      <c:valAx>
        <c:axId val="1660412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  <a:latin typeface="+mj-lt"/>
                  </a:rPr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s-MX"/>
          </a:p>
        </c:txPr>
        <c:crossAx val="166041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479425</xdr:colOff>
      <xdr:row>38</xdr:row>
      <xdr:rowOff>136525</xdr:rowOff>
    </xdr:from>
    <xdr:to>
      <xdr:col>7</xdr:col>
      <xdr:colOff>327025</xdr:colOff>
      <xdr:row>53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F1B0E-863F-7C6B-261C-FC367CA7A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755650</xdr:colOff>
      <xdr:row>18</xdr:row>
      <xdr:rowOff>6350</xdr:rowOff>
    </xdr:from>
    <xdr:to>
      <xdr:col>20</xdr:col>
      <xdr:colOff>755650</xdr:colOff>
      <xdr:row>32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4442B7-65A4-4092-9CAF-7F7F5E09A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14</xdr:col>
      <xdr:colOff>0</xdr:colOff>
      <xdr:row>32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BFECCF-E3D5-4B18-A5B7-C9778C761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6F9340-3422-4904-8862-91A39D588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57B5-FC0B-4172-AA24-4FE8636ABE54}">
  <dimension ref="A1:O47"/>
  <sheetViews>
    <sheetView zoomScale="110" zoomScaleNormal="110" workbookViewId="0">
      <selection activeCell="L5" sqref="L5"/>
    </sheetView>
  </sheetViews>
  <sheetFormatPr baseColWidth="10" defaultRowHeight="14.5" x14ac:dyDescent="0.35"/>
  <cols>
    <col min="5" max="5" width="12" bestFit="1" customWidth="1"/>
    <col min="6" max="6" width="12" customWidth="1"/>
    <col min="10" max="10" width="11.36328125" bestFit="1" customWidth="1"/>
    <col min="11" max="11" width="12.54296875" bestFit="1" customWidth="1"/>
    <col min="12" max="12" width="19.08984375" customWidth="1"/>
    <col min="13" max="14" width="10.90625" style="3"/>
  </cols>
  <sheetData>
    <row r="1" spans="1:15" x14ac:dyDescent="0.35">
      <c r="A1" s="1" t="s">
        <v>12</v>
      </c>
      <c r="B1" s="2" t="s">
        <v>18</v>
      </c>
      <c r="C1" s="21" t="s">
        <v>27</v>
      </c>
      <c r="D1" s="21"/>
      <c r="E1" s="21"/>
      <c r="F1" s="2"/>
      <c r="G1" s="2" t="s">
        <v>18</v>
      </c>
      <c r="I1" s="21" t="s">
        <v>28</v>
      </c>
      <c r="J1" s="21"/>
      <c r="K1" s="21"/>
      <c r="L1" s="2"/>
    </row>
    <row r="2" spans="1:15" x14ac:dyDescent="0.35">
      <c r="A2" s="1" t="s">
        <v>0</v>
      </c>
      <c r="B2" s="2" t="s">
        <v>2</v>
      </c>
      <c r="C2" s="2" t="s">
        <v>29</v>
      </c>
      <c r="D2" s="2" t="s">
        <v>21</v>
      </c>
      <c r="E2" s="2" t="s">
        <v>22</v>
      </c>
      <c r="F2" s="2" t="str">
        <f>A2</f>
        <v>No.</v>
      </c>
      <c r="G2" s="2" t="s">
        <v>2</v>
      </c>
      <c r="H2" s="2" t="s">
        <v>11</v>
      </c>
      <c r="I2" s="2" t="s">
        <v>30</v>
      </c>
      <c r="J2" s="2" t="s">
        <v>21</v>
      </c>
      <c r="K2" s="2" t="s">
        <v>22</v>
      </c>
      <c r="L2" s="20" t="s">
        <v>33</v>
      </c>
      <c r="M2" s="2" t="s">
        <v>23</v>
      </c>
      <c r="N2" s="2" t="s">
        <v>24</v>
      </c>
      <c r="O2" s="2" t="s">
        <v>11</v>
      </c>
    </row>
    <row r="3" spans="1:15" x14ac:dyDescent="0.35">
      <c r="A3" s="3">
        <v>1</v>
      </c>
      <c r="B3" s="3" t="s">
        <v>3</v>
      </c>
      <c r="C3" s="4">
        <v>1.0648148148148149E-3</v>
      </c>
      <c r="D3" s="4">
        <v>1.8287037037037037E-3</v>
      </c>
      <c r="E3" s="4">
        <v>2.0833333333333333E-3</v>
      </c>
      <c r="F3" s="3">
        <f t="shared" ref="F3:F38" si="0">A3</f>
        <v>1</v>
      </c>
      <c r="G3" s="3" t="str">
        <f>B3</f>
        <v>100/80</v>
      </c>
      <c r="H3" s="12">
        <f t="shared" ref="H3:H38" si="1">(M3/(POWER(N3,3)))*100</f>
        <v>1.8090820312499998</v>
      </c>
      <c r="I3" s="3">
        <f t="shared" ref="I3:I38" si="2">C3*24*60*60</f>
        <v>92</v>
      </c>
      <c r="J3" s="3">
        <f t="shared" ref="J3:J38" si="3">D3*24*60*60</f>
        <v>158</v>
      </c>
      <c r="K3" s="3">
        <f t="shared" ref="K3:K38" si="4">E3*24*60*60</f>
        <v>180</v>
      </c>
      <c r="L3" s="13">
        <f>LOG10(K3)</f>
        <v>2.255272505103306</v>
      </c>
      <c r="M3" s="3">
        <v>74.099999999999994</v>
      </c>
      <c r="N3" s="3">
        <v>16</v>
      </c>
      <c r="O3" s="12">
        <f>(M3/(POWER(N3,3)))*100</f>
        <v>1.8090820312499998</v>
      </c>
    </row>
    <row r="4" spans="1:15" x14ac:dyDescent="0.35">
      <c r="A4" s="3">
        <f>A3+1</f>
        <v>2</v>
      </c>
      <c r="B4" s="3" t="s">
        <v>4</v>
      </c>
      <c r="C4" s="4">
        <v>7.291666666666667E-4</v>
      </c>
      <c r="D4" s="4">
        <v>2.488425925925926E-3</v>
      </c>
      <c r="E4" s="4">
        <v>2.3263888888888887E-3</v>
      </c>
      <c r="F4" s="3">
        <f t="shared" si="0"/>
        <v>2</v>
      </c>
      <c r="G4" s="3" t="str">
        <f t="shared" ref="G4:G38" si="5">B4</f>
        <v>100/60</v>
      </c>
      <c r="H4" s="12">
        <f t="shared" si="1"/>
        <v>1.8583350295135355</v>
      </c>
      <c r="I4" s="3">
        <f t="shared" si="2"/>
        <v>63</v>
      </c>
      <c r="J4" s="3">
        <f t="shared" si="3"/>
        <v>215</v>
      </c>
      <c r="K4" s="3">
        <f t="shared" si="4"/>
        <v>201</v>
      </c>
      <c r="L4" s="13">
        <f t="shared" ref="L4:L38" si="6">LOG10(K4)</f>
        <v>2.3031960574204891</v>
      </c>
      <c r="M4" s="3">
        <v>91.3</v>
      </c>
      <c r="N4" s="3">
        <v>17</v>
      </c>
      <c r="O4" s="12">
        <f t="shared" ref="O4:O38" si="7">(M4/(POWER(N4,3)))*100</f>
        <v>1.8583350295135355</v>
      </c>
    </row>
    <row r="5" spans="1:15" x14ac:dyDescent="0.35">
      <c r="A5" s="3">
        <f t="shared" ref="A5:A38" si="8">A4+1</f>
        <v>3</v>
      </c>
      <c r="B5" s="3" t="s">
        <v>4</v>
      </c>
      <c r="C5" s="4">
        <v>1.0995370370370371E-3</v>
      </c>
      <c r="D5" s="4">
        <v>2.0717592592592593E-3</v>
      </c>
      <c r="E5" s="4">
        <v>3.7037037037037038E-3</v>
      </c>
      <c r="F5" s="3">
        <f t="shared" si="0"/>
        <v>3</v>
      </c>
      <c r="G5" s="3" t="str">
        <f t="shared" si="5"/>
        <v>100/60</v>
      </c>
      <c r="H5" s="12">
        <f t="shared" si="1"/>
        <v>1.6625976562499998</v>
      </c>
      <c r="I5" s="3">
        <f t="shared" si="2"/>
        <v>95.000000000000014</v>
      </c>
      <c r="J5" s="3">
        <f t="shared" si="3"/>
        <v>179</v>
      </c>
      <c r="K5" s="3">
        <f t="shared" si="4"/>
        <v>320.00000000000006</v>
      </c>
      <c r="L5" s="13">
        <f t="shared" si="6"/>
        <v>2.5051499783199063</v>
      </c>
      <c r="M5" s="3">
        <v>68.099999999999994</v>
      </c>
      <c r="N5" s="3">
        <v>16</v>
      </c>
      <c r="O5" s="12">
        <f t="shared" si="7"/>
        <v>1.6625976562499998</v>
      </c>
    </row>
    <row r="6" spans="1:15" x14ac:dyDescent="0.35">
      <c r="A6" s="3">
        <f t="shared" si="8"/>
        <v>4</v>
      </c>
      <c r="B6" s="3" t="s">
        <v>3</v>
      </c>
      <c r="C6" s="4">
        <v>1.2037037037037038E-3</v>
      </c>
      <c r="D6" s="4">
        <v>2.3148148148148147E-3</v>
      </c>
      <c r="E6" s="4">
        <v>2.3148148148148147E-3</v>
      </c>
      <c r="F6" s="3">
        <f t="shared" si="0"/>
        <v>4</v>
      </c>
      <c r="G6" s="3" t="str">
        <f t="shared" si="5"/>
        <v>100/80</v>
      </c>
      <c r="H6" s="12">
        <f t="shared" si="1"/>
        <v>1.8115204559332381</v>
      </c>
      <c r="I6" s="3">
        <f t="shared" si="2"/>
        <v>104</v>
      </c>
      <c r="J6" s="3">
        <f t="shared" si="3"/>
        <v>199.99999999999997</v>
      </c>
      <c r="K6" s="3">
        <f t="shared" si="4"/>
        <v>199.99999999999997</v>
      </c>
      <c r="L6" s="13">
        <f t="shared" si="6"/>
        <v>2.3010299956639813</v>
      </c>
      <c r="M6" s="3">
        <v>89</v>
      </c>
      <c r="N6" s="3">
        <v>17</v>
      </c>
      <c r="O6" s="12">
        <f t="shared" si="7"/>
        <v>1.8115204559332381</v>
      </c>
    </row>
    <row r="7" spans="1:15" x14ac:dyDescent="0.35">
      <c r="A7" s="3">
        <f t="shared" si="8"/>
        <v>5</v>
      </c>
      <c r="B7" s="3" t="s">
        <v>4</v>
      </c>
      <c r="C7" s="4">
        <v>1.1574074074074073E-3</v>
      </c>
      <c r="D7" s="4">
        <v>1.9328703703703704E-3</v>
      </c>
      <c r="E7" s="4">
        <v>2.0833333333333333E-3</v>
      </c>
      <c r="F7" s="3">
        <f t="shared" si="0"/>
        <v>5</v>
      </c>
      <c r="G7" s="3" t="str">
        <f t="shared" si="5"/>
        <v>100/60</v>
      </c>
      <c r="H7" s="12">
        <f t="shared" si="1"/>
        <v>2.0516263300996944</v>
      </c>
      <c r="I7" s="3">
        <f t="shared" si="2"/>
        <v>99.999999999999986</v>
      </c>
      <c r="J7" s="3">
        <f t="shared" si="3"/>
        <v>167</v>
      </c>
      <c r="K7" s="3">
        <f t="shared" si="4"/>
        <v>180</v>
      </c>
      <c r="L7" s="13">
        <f t="shared" si="6"/>
        <v>2.255272505103306</v>
      </c>
      <c r="M7" s="3">
        <v>76.400000000000006</v>
      </c>
      <c r="N7" s="3">
        <v>15.5</v>
      </c>
      <c r="O7" s="12">
        <f t="shared" si="7"/>
        <v>2.0516263300996944</v>
      </c>
    </row>
    <row r="8" spans="1:15" x14ac:dyDescent="0.35">
      <c r="A8" s="3">
        <f t="shared" si="8"/>
        <v>6</v>
      </c>
      <c r="B8" s="3" t="s">
        <v>3</v>
      </c>
      <c r="C8" s="4">
        <v>8.6805555555555551E-4</v>
      </c>
      <c r="D8" s="4">
        <v>1.6319444444444445E-3</v>
      </c>
      <c r="E8" s="4">
        <v>2.3263888888888887E-3</v>
      </c>
      <c r="F8" s="3">
        <f t="shared" si="0"/>
        <v>6</v>
      </c>
      <c r="G8" s="3" t="str">
        <f t="shared" si="5"/>
        <v>100/80</v>
      </c>
      <c r="H8" s="12">
        <f t="shared" si="1"/>
        <v>1.7052129837870498</v>
      </c>
      <c r="I8" s="3">
        <f t="shared" si="2"/>
        <v>75</v>
      </c>
      <c r="J8" s="3">
        <f t="shared" si="3"/>
        <v>141</v>
      </c>
      <c r="K8" s="3">
        <f t="shared" si="4"/>
        <v>201</v>
      </c>
      <c r="L8" s="13">
        <f t="shared" si="6"/>
        <v>2.3031960574204891</v>
      </c>
      <c r="M8" s="3">
        <v>63.5</v>
      </c>
      <c r="N8" s="3">
        <v>15.5</v>
      </c>
      <c r="O8" s="12">
        <f t="shared" si="7"/>
        <v>1.7052129837870498</v>
      </c>
    </row>
    <row r="9" spans="1:15" x14ac:dyDescent="0.35">
      <c r="A9" s="3">
        <f t="shared" si="8"/>
        <v>7</v>
      </c>
      <c r="B9" s="3" t="s">
        <v>4</v>
      </c>
      <c r="C9" s="4">
        <v>5.7870370370370367E-4</v>
      </c>
      <c r="D9" s="4">
        <v>1.7476851851851852E-3</v>
      </c>
      <c r="E9" s="4">
        <v>2.0833333333333333E-3</v>
      </c>
      <c r="F9" s="3">
        <f t="shared" si="0"/>
        <v>7</v>
      </c>
      <c r="G9" s="3" t="str">
        <f t="shared" si="5"/>
        <v>100/60</v>
      </c>
      <c r="H9" s="12">
        <f t="shared" si="1"/>
        <v>2.1392592592592594</v>
      </c>
      <c r="I9" s="3">
        <f t="shared" si="2"/>
        <v>49.999999999999993</v>
      </c>
      <c r="J9" s="3">
        <f t="shared" si="3"/>
        <v>151</v>
      </c>
      <c r="K9" s="3">
        <f t="shared" si="4"/>
        <v>180</v>
      </c>
      <c r="L9" s="13">
        <f t="shared" si="6"/>
        <v>2.255272505103306</v>
      </c>
      <c r="M9" s="3">
        <v>72.2</v>
      </c>
      <c r="N9" s="3">
        <v>15</v>
      </c>
      <c r="O9" s="12">
        <f t="shared" si="7"/>
        <v>2.1392592592592594</v>
      </c>
    </row>
    <row r="10" spans="1:15" x14ac:dyDescent="0.35">
      <c r="A10" s="3">
        <f t="shared" si="8"/>
        <v>8</v>
      </c>
      <c r="B10" s="3" t="s">
        <v>3</v>
      </c>
      <c r="C10" s="4">
        <v>7.7546296296296293E-4</v>
      </c>
      <c r="D10" s="4">
        <v>2.3148148148148147E-3</v>
      </c>
      <c r="E10" s="4">
        <v>2.0833333333333333E-3</v>
      </c>
      <c r="F10" s="3">
        <f t="shared" si="0"/>
        <v>8</v>
      </c>
      <c r="G10" s="3" t="str">
        <f t="shared" si="5"/>
        <v>100/80</v>
      </c>
      <c r="H10" s="12">
        <f t="shared" si="1"/>
        <v>1.8717062199993288</v>
      </c>
      <c r="I10" s="3">
        <f t="shared" si="2"/>
        <v>66.999999999999986</v>
      </c>
      <c r="J10" s="3">
        <f t="shared" si="3"/>
        <v>199.99999999999997</v>
      </c>
      <c r="K10" s="3">
        <f t="shared" si="4"/>
        <v>180</v>
      </c>
      <c r="L10" s="13">
        <f t="shared" si="6"/>
        <v>2.255272505103306</v>
      </c>
      <c r="M10" s="3">
        <v>69.7</v>
      </c>
      <c r="N10" s="3">
        <v>15.5</v>
      </c>
      <c r="O10" s="12">
        <f t="shared" si="7"/>
        <v>1.8717062199993288</v>
      </c>
    </row>
    <row r="11" spans="1:15" x14ac:dyDescent="0.35">
      <c r="A11" s="3">
        <f t="shared" si="8"/>
        <v>9</v>
      </c>
      <c r="B11" s="3" t="s">
        <v>3</v>
      </c>
      <c r="C11" s="4">
        <v>6.9444444444444447E-4</v>
      </c>
      <c r="D11" s="4">
        <v>1.736111111111111E-3</v>
      </c>
      <c r="E11" s="4">
        <v>2.4305555555555556E-3</v>
      </c>
      <c r="F11" s="3">
        <f t="shared" si="0"/>
        <v>9</v>
      </c>
      <c r="G11" s="3" t="str">
        <f t="shared" si="5"/>
        <v>100/80</v>
      </c>
      <c r="H11" s="12">
        <f t="shared" si="1"/>
        <v>1.9024970273483945</v>
      </c>
      <c r="I11" s="3">
        <f t="shared" si="2"/>
        <v>60</v>
      </c>
      <c r="J11" s="3">
        <f t="shared" si="3"/>
        <v>150</v>
      </c>
      <c r="K11" s="3">
        <f t="shared" si="4"/>
        <v>210</v>
      </c>
      <c r="L11" s="13">
        <f t="shared" si="6"/>
        <v>2.3222192947339191</v>
      </c>
      <c r="M11" s="3">
        <v>58</v>
      </c>
      <c r="N11" s="3">
        <v>14.5</v>
      </c>
      <c r="O11" s="12">
        <f t="shared" si="7"/>
        <v>1.9024970273483945</v>
      </c>
    </row>
    <row r="12" spans="1:15" x14ac:dyDescent="0.35">
      <c r="A12" s="3">
        <f t="shared" si="8"/>
        <v>10</v>
      </c>
      <c r="B12" s="3" t="s">
        <v>4</v>
      </c>
      <c r="C12" s="4">
        <v>8.7962962962962962E-4</v>
      </c>
      <c r="D12" s="4">
        <v>2.7083333333333334E-3</v>
      </c>
      <c r="E12" s="4">
        <v>2.7777777777777779E-3</v>
      </c>
      <c r="F12" s="3">
        <f t="shared" si="0"/>
        <v>10</v>
      </c>
      <c r="G12" s="3" t="str">
        <f t="shared" si="5"/>
        <v>100/60</v>
      </c>
      <c r="H12" s="12">
        <f t="shared" si="1"/>
        <v>1.6237997256515775</v>
      </c>
      <c r="I12" s="3">
        <f t="shared" si="2"/>
        <v>76</v>
      </c>
      <c r="J12" s="3">
        <f t="shared" si="3"/>
        <v>234.00000000000003</v>
      </c>
      <c r="K12" s="3">
        <f t="shared" si="4"/>
        <v>240</v>
      </c>
      <c r="L12" s="13">
        <f t="shared" si="6"/>
        <v>2.3802112417116059</v>
      </c>
      <c r="M12" s="3">
        <v>94.7</v>
      </c>
      <c r="N12" s="3">
        <v>18</v>
      </c>
      <c r="O12" s="12">
        <f t="shared" si="7"/>
        <v>1.6237997256515775</v>
      </c>
    </row>
    <row r="13" spans="1:15" x14ac:dyDescent="0.35">
      <c r="A13" s="3">
        <f t="shared" si="8"/>
        <v>11</v>
      </c>
      <c r="B13" s="3" t="s">
        <v>3</v>
      </c>
      <c r="C13" s="4">
        <v>5.9027777777777778E-4</v>
      </c>
      <c r="D13" s="4">
        <v>2.0833333333333333E-3</v>
      </c>
      <c r="E13" s="4">
        <v>2.3148148148148147E-3</v>
      </c>
      <c r="F13" s="3">
        <f t="shared" si="0"/>
        <v>11</v>
      </c>
      <c r="G13" s="3" t="str">
        <f t="shared" si="5"/>
        <v>100/80</v>
      </c>
      <c r="H13" s="12">
        <f t="shared" si="1"/>
        <v>1.8278037858742113</v>
      </c>
      <c r="I13" s="3">
        <f t="shared" si="2"/>
        <v>51.000000000000007</v>
      </c>
      <c r="J13" s="3">
        <f t="shared" si="3"/>
        <v>180</v>
      </c>
      <c r="K13" s="3">
        <f t="shared" si="4"/>
        <v>199.99999999999997</v>
      </c>
      <c r="L13" s="13">
        <f t="shared" si="6"/>
        <v>2.3010299956639813</v>
      </c>
      <c r="M13" s="3">
        <v>89.8</v>
      </c>
      <c r="N13" s="3">
        <v>17</v>
      </c>
      <c r="O13" s="12">
        <f t="shared" si="7"/>
        <v>1.8278037858742113</v>
      </c>
    </row>
    <row r="14" spans="1:15" x14ac:dyDescent="0.35">
      <c r="A14" s="3">
        <f t="shared" si="8"/>
        <v>12</v>
      </c>
      <c r="B14" s="3" t="s">
        <v>4</v>
      </c>
      <c r="C14" s="4">
        <v>7.9861111111111116E-4</v>
      </c>
      <c r="D14" s="4">
        <v>1.8518518518518519E-3</v>
      </c>
      <c r="E14" s="4">
        <v>2.3148148148148147E-3</v>
      </c>
      <c r="F14" s="3">
        <f t="shared" si="0"/>
        <v>12</v>
      </c>
      <c r="G14" s="3" t="str">
        <f t="shared" si="5"/>
        <v>100/60</v>
      </c>
      <c r="H14" s="12">
        <f t="shared" si="1"/>
        <v>1.7056788113169143</v>
      </c>
      <c r="I14" s="3">
        <f t="shared" si="2"/>
        <v>69.000000000000014</v>
      </c>
      <c r="J14" s="3">
        <f t="shared" si="3"/>
        <v>160.00000000000003</v>
      </c>
      <c r="K14" s="3">
        <f t="shared" si="4"/>
        <v>199.99999999999997</v>
      </c>
      <c r="L14" s="13">
        <f t="shared" si="6"/>
        <v>2.3010299956639813</v>
      </c>
      <c r="M14" s="3">
        <v>83.8</v>
      </c>
      <c r="N14" s="3">
        <v>17</v>
      </c>
      <c r="O14" s="12">
        <f t="shared" si="7"/>
        <v>1.7056788113169143</v>
      </c>
    </row>
    <row r="15" spans="1:15" x14ac:dyDescent="0.35">
      <c r="A15" s="3">
        <f t="shared" si="8"/>
        <v>13</v>
      </c>
      <c r="B15" s="3" t="s">
        <v>3</v>
      </c>
      <c r="C15" s="4">
        <v>7.5231481481481482E-4</v>
      </c>
      <c r="D15" s="4">
        <v>1.8865740740740742E-3</v>
      </c>
      <c r="E15" s="4">
        <v>2.7777777777777779E-3</v>
      </c>
      <c r="F15" s="3">
        <f t="shared" si="0"/>
        <v>13</v>
      </c>
      <c r="G15" s="3" t="str">
        <f t="shared" si="5"/>
        <v>100/80</v>
      </c>
      <c r="H15" s="12">
        <f t="shared" si="1"/>
        <v>1.6886663632225765</v>
      </c>
      <c r="I15" s="3">
        <f t="shared" si="2"/>
        <v>65</v>
      </c>
      <c r="J15" s="3">
        <f t="shared" si="3"/>
        <v>163</v>
      </c>
      <c r="K15" s="3">
        <f t="shared" si="4"/>
        <v>240</v>
      </c>
      <c r="L15" s="13">
        <f t="shared" si="6"/>
        <v>2.3802112417116059</v>
      </c>
      <c r="M15" s="3">
        <v>37.1</v>
      </c>
      <c r="N15" s="3">
        <v>13</v>
      </c>
      <c r="O15" s="12">
        <f t="shared" si="7"/>
        <v>1.6886663632225765</v>
      </c>
    </row>
    <row r="16" spans="1:15" x14ac:dyDescent="0.35">
      <c r="A16" s="3">
        <f t="shared" si="8"/>
        <v>14</v>
      </c>
      <c r="B16" s="3" t="s">
        <v>3</v>
      </c>
      <c r="C16" s="4">
        <v>1.0648148148148149E-3</v>
      </c>
      <c r="D16" s="4">
        <v>2.8472222222222223E-3</v>
      </c>
      <c r="E16" s="4">
        <v>2.7777777777777779E-3</v>
      </c>
      <c r="F16" s="3">
        <f t="shared" si="0"/>
        <v>14</v>
      </c>
      <c r="G16" s="3" t="str">
        <f t="shared" si="5"/>
        <v>100/80</v>
      </c>
      <c r="H16" s="12">
        <f t="shared" si="1"/>
        <v>1.8415493652893213</v>
      </c>
      <c r="I16" s="3">
        <f t="shared" si="2"/>
        <v>92</v>
      </c>
      <c r="J16" s="3">
        <f t="shared" si="3"/>
        <v>245.99999999999997</v>
      </c>
      <c r="K16" s="3">
        <f t="shared" si="4"/>
        <v>240</v>
      </c>
      <c r="L16" s="13">
        <f t="shared" si="6"/>
        <v>2.3802112417116059</v>
      </c>
      <c r="M16" s="3">
        <v>116.6</v>
      </c>
      <c r="N16" s="3">
        <v>18.5</v>
      </c>
      <c r="O16" s="12">
        <f t="shared" si="7"/>
        <v>1.8415493652893213</v>
      </c>
    </row>
    <row r="17" spans="1:15" x14ac:dyDescent="0.35">
      <c r="A17" s="3">
        <f t="shared" si="8"/>
        <v>15</v>
      </c>
      <c r="B17" s="3" t="s">
        <v>3</v>
      </c>
      <c r="C17" s="4">
        <v>4.3981481481481481E-4</v>
      </c>
      <c r="D17" s="4">
        <v>1.1921296296296296E-3</v>
      </c>
      <c r="E17" s="4">
        <v>2.0833333333333333E-3</v>
      </c>
      <c r="F17" s="3">
        <f t="shared" si="0"/>
        <v>15</v>
      </c>
      <c r="G17" s="3" t="str">
        <f t="shared" si="5"/>
        <v>100/80</v>
      </c>
      <c r="H17" s="12">
        <f t="shared" si="1"/>
        <v>1.866335470444094</v>
      </c>
      <c r="I17" s="3">
        <f t="shared" si="2"/>
        <v>38</v>
      </c>
      <c r="J17" s="3">
        <f t="shared" si="3"/>
        <v>103</v>
      </c>
      <c r="K17" s="3">
        <f t="shared" si="4"/>
        <v>180</v>
      </c>
      <c r="L17" s="13">
        <f t="shared" si="6"/>
        <v>2.255272505103306</v>
      </c>
      <c r="M17" s="3">
        <v>69.5</v>
      </c>
      <c r="N17" s="3">
        <v>15.5</v>
      </c>
      <c r="O17" s="12">
        <f t="shared" si="7"/>
        <v>1.866335470444094</v>
      </c>
    </row>
    <row r="18" spans="1:15" x14ac:dyDescent="0.35">
      <c r="A18" s="3">
        <f t="shared" si="8"/>
        <v>16</v>
      </c>
      <c r="B18" s="3" t="s">
        <v>3</v>
      </c>
      <c r="C18" s="4">
        <v>8.4490740740740739E-4</v>
      </c>
      <c r="D18" s="4">
        <v>1.4236111111111112E-3</v>
      </c>
      <c r="E18" s="4">
        <v>2.3148148148148147E-3</v>
      </c>
      <c r="F18" s="3">
        <f t="shared" si="0"/>
        <v>16</v>
      </c>
      <c r="G18" s="3" t="str">
        <f t="shared" si="5"/>
        <v>100/80</v>
      </c>
      <c r="H18" s="12">
        <f t="shared" si="1"/>
        <v>2.1091475665258925</v>
      </c>
      <c r="I18" s="3">
        <f t="shared" si="2"/>
        <v>73</v>
      </c>
      <c r="J18" s="3">
        <f t="shared" si="3"/>
        <v>122.99999999999999</v>
      </c>
      <c r="K18" s="3">
        <f t="shared" si="4"/>
        <v>199.99999999999997</v>
      </c>
      <c r="L18" s="13">
        <f t="shared" si="6"/>
        <v>2.3010299956639813</v>
      </c>
      <c r="M18" s="3">
        <v>64.3</v>
      </c>
      <c r="N18" s="3">
        <v>14.5</v>
      </c>
      <c r="O18" s="12">
        <f t="shared" si="7"/>
        <v>2.1091475665258925</v>
      </c>
    </row>
    <row r="19" spans="1:15" x14ac:dyDescent="0.35">
      <c r="A19" s="3">
        <f t="shared" si="8"/>
        <v>17</v>
      </c>
      <c r="B19" s="3" t="s">
        <v>3</v>
      </c>
      <c r="C19" s="4">
        <v>4.3981481481481481E-4</v>
      </c>
      <c r="D19" s="4">
        <v>8.9120370370370373E-4</v>
      </c>
      <c r="E19" s="4">
        <v>2.3148148148148147E-3</v>
      </c>
      <c r="F19" s="3">
        <f t="shared" si="0"/>
        <v>17</v>
      </c>
      <c r="G19" s="3" t="str">
        <f t="shared" si="5"/>
        <v>100/80</v>
      </c>
      <c r="H19" s="12">
        <f t="shared" si="1"/>
        <v>1.8075801749271136</v>
      </c>
      <c r="I19" s="3">
        <f t="shared" si="2"/>
        <v>38</v>
      </c>
      <c r="J19" s="3">
        <f t="shared" si="3"/>
        <v>77</v>
      </c>
      <c r="K19" s="3">
        <f t="shared" si="4"/>
        <v>199.99999999999997</v>
      </c>
      <c r="L19" s="13">
        <f t="shared" si="6"/>
        <v>2.3010299956639813</v>
      </c>
      <c r="M19" s="3">
        <v>49.6</v>
      </c>
      <c r="N19" s="3">
        <v>14</v>
      </c>
      <c r="O19" s="12">
        <f t="shared" si="7"/>
        <v>1.8075801749271136</v>
      </c>
    </row>
    <row r="20" spans="1:15" x14ac:dyDescent="0.35">
      <c r="A20" s="3">
        <f t="shared" si="8"/>
        <v>18</v>
      </c>
      <c r="B20" s="3" t="s">
        <v>3</v>
      </c>
      <c r="C20" s="4">
        <v>4.3981481481481481E-4</v>
      </c>
      <c r="D20" s="4">
        <v>9.7222222222222219E-4</v>
      </c>
      <c r="E20" s="4">
        <v>1.6203703703703703E-3</v>
      </c>
      <c r="F20" s="3">
        <f t="shared" si="0"/>
        <v>18</v>
      </c>
      <c r="G20" s="3" t="str">
        <f t="shared" si="5"/>
        <v>100/80</v>
      </c>
      <c r="H20" s="12">
        <f t="shared" si="1"/>
        <v>1.9513031550068587</v>
      </c>
      <c r="I20" s="3">
        <f t="shared" si="2"/>
        <v>38</v>
      </c>
      <c r="J20" s="3">
        <f t="shared" si="3"/>
        <v>84</v>
      </c>
      <c r="K20" s="3">
        <f t="shared" si="4"/>
        <v>140</v>
      </c>
      <c r="L20" s="13">
        <f t="shared" si="6"/>
        <v>2.1461280356782382</v>
      </c>
      <c r="M20" s="3">
        <v>113.8</v>
      </c>
      <c r="N20" s="3">
        <v>18</v>
      </c>
      <c r="O20" s="12">
        <f t="shared" si="7"/>
        <v>1.9513031550068587</v>
      </c>
    </row>
    <row r="21" spans="1:15" x14ac:dyDescent="0.35">
      <c r="A21" s="3">
        <f t="shared" si="8"/>
        <v>19</v>
      </c>
      <c r="B21" s="3" t="s">
        <v>4</v>
      </c>
      <c r="C21" s="4">
        <v>6.9444444444444447E-4</v>
      </c>
      <c r="D21" s="4">
        <v>1.4699074074074074E-3</v>
      </c>
      <c r="E21" s="4">
        <v>2.5462962962962965E-3</v>
      </c>
      <c r="F21" s="3">
        <f t="shared" si="0"/>
        <v>19</v>
      </c>
      <c r="G21" s="3" t="str">
        <f t="shared" si="5"/>
        <v>100/60</v>
      </c>
      <c r="H21" s="12">
        <f t="shared" si="1"/>
        <v>1.6851914003119264</v>
      </c>
      <c r="I21" s="3">
        <f t="shared" si="2"/>
        <v>60</v>
      </c>
      <c r="J21" s="3">
        <f t="shared" si="3"/>
        <v>127</v>
      </c>
      <c r="K21" s="3">
        <f t="shared" si="4"/>
        <v>220.00000000000003</v>
      </c>
      <c r="L21" s="13">
        <f t="shared" si="6"/>
        <v>2.3424226808222062</v>
      </c>
      <c r="M21" s="3">
        <v>106.7</v>
      </c>
      <c r="N21" s="3">
        <v>18.5</v>
      </c>
      <c r="O21" s="12">
        <f t="shared" si="7"/>
        <v>1.6851914003119264</v>
      </c>
    </row>
    <row r="22" spans="1:15" x14ac:dyDescent="0.35">
      <c r="A22" s="3">
        <f t="shared" si="8"/>
        <v>20</v>
      </c>
      <c r="B22" s="3" t="s">
        <v>4</v>
      </c>
      <c r="C22" s="4">
        <v>7.7546296296296293E-4</v>
      </c>
      <c r="D22" s="4">
        <v>1.712962962962963E-3</v>
      </c>
      <c r="E22" s="4">
        <v>2.0833333333333333E-3</v>
      </c>
      <c r="F22" s="3">
        <f t="shared" si="0"/>
        <v>20</v>
      </c>
      <c r="G22" s="3" t="str">
        <f t="shared" si="5"/>
        <v>100/60</v>
      </c>
      <c r="H22" s="12">
        <f t="shared" si="1"/>
        <v>2.18868804664723</v>
      </c>
      <c r="I22" s="3">
        <f t="shared" si="2"/>
        <v>66.999999999999986</v>
      </c>
      <c r="J22" s="3">
        <f t="shared" si="3"/>
        <v>148</v>
      </c>
      <c r="K22" s="3">
        <f t="shared" si="4"/>
        <v>180</v>
      </c>
      <c r="L22" s="13">
        <f t="shared" si="6"/>
        <v>2.255272505103306</v>
      </c>
      <c r="M22" s="3">
        <v>117.3</v>
      </c>
      <c r="N22" s="3">
        <v>17.5</v>
      </c>
      <c r="O22" s="12">
        <f t="shared" si="7"/>
        <v>2.18868804664723</v>
      </c>
    </row>
    <row r="23" spans="1:15" x14ac:dyDescent="0.35">
      <c r="A23" s="3">
        <f t="shared" si="8"/>
        <v>21</v>
      </c>
      <c r="B23" s="3" t="s">
        <v>4</v>
      </c>
      <c r="C23" s="4">
        <v>5.5555555555555556E-4</v>
      </c>
      <c r="D23" s="4">
        <v>1.3194444444444445E-3</v>
      </c>
      <c r="E23" s="4">
        <v>2.0833333333333333E-3</v>
      </c>
      <c r="F23" s="3">
        <f t="shared" si="0"/>
        <v>21</v>
      </c>
      <c r="G23" s="3" t="str">
        <f t="shared" si="5"/>
        <v>100/60</v>
      </c>
      <c r="H23" s="12">
        <f t="shared" si="1"/>
        <v>1.92</v>
      </c>
      <c r="I23" s="3">
        <f t="shared" si="2"/>
        <v>47.999999999999993</v>
      </c>
      <c r="J23" s="3">
        <f t="shared" si="3"/>
        <v>114.00000000000001</v>
      </c>
      <c r="K23" s="3">
        <f t="shared" si="4"/>
        <v>180</v>
      </c>
      <c r="L23" s="13">
        <f t="shared" si="6"/>
        <v>2.255272505103306</v>
      </c>
      <c r="M23" s="3">
        <v>64.8</v>
      </c>
      <c r="N23" s="3">
        <v>15</v>
      </c>
      <c r="O23" s="12">
        <f t="shared" si="7"/>
        <v>1.92</v>
      </c>
    </row>
    <row r="24" spans="1:15" x14ac:dyDescent="0.35">
      <c r="A24" s="3">
        <f t="shared" si="8"/>
        <v>22</v>
      </c>
      <c r="B24" s="3" t="s">
        <v>4</v>
      </c>
      <c r="C24" s="4">
        <v>7.7546296296296293E-4</v>
      </c>
      <c r="D24" s="4">
        <v>2.0833333333333333E-3</v>
      </c>
      <c r="E24" s="4">
        <v>2.8240740740740739E-3</v>
      </c>
      <c r="F24" s="3">
        <f t="shared" si="0"/>
        <v>22</v>
      </c>
      <c r="G24" s="3" t="str">
        <f t="shared" si="5"/>
        <v>100/60</v>
      </c>
      <c r="H24" s="12">
        <f t="shared" si="1"/>
        <v>1.8521301165929267</v>
      </c>
      <c r="I24" s="3">
        <f t="shared" si="2"/>
        <v>66.999999999999986</v>
      </c>
      <c r="J24" s="3">
        <f t="shared" si="3"/>
        <v>180</v>
      </c>
      <c r="K24" s="3">
        <f t="shared" si="4"/>
        <v>244</v>
      </c>
      <c r="L24" s="13">
        <f t="shared" si="6"/>
        <v>2.3873898263387292</v>
      </c>
      <c r="M24" s="3">
        <v>83.2</v>
      </c>
      <c r="N24" s="3">
        <v>16.5</v>
      </c>
      <c r="O24" s="12">
        <f t="shared" si="7"/>
        <v>1.8521301165929267</v>
      </c>
    </row>
    <row r="25" spans="1:15" x14ac:dyDescent="0.35">
      <c r="A25" s="3">
        <f t="shared" si="8"/>
        <v>23</v>
      </c>
      <c r="B25" s="3" t="s">
        <v>4</v>
      </c>
      <c r="C25" s="4">
        <v>1.0648148148148149E-3</v>
      </c>
      <c r="D25" s="4">
        <v>1.5046296296296296E-3</v>
      </c>
      <c r="E25" s="4">
        <v>2.0833333333333333E-3</v>
      </c>
      <c r="F25" s="3">
        <f t="shared" si="0"/>
        <v>23</v>
      </c>
      <c r="G25" s="3" t="str">
        <f t="shared" si="5"/>
        <v>100/60</v>
      </c>
      <c r="H25" s="12">
        <f t="shared" si="1"/>
        <v>1.8727842083020279</v>
      </c>
      <c r="I25" s="3">
        <f t="shared" si="2"/>
        <v>92</v>
      </c>
      <c r="J25" s="3">
        <f t="shared" si="3"/>
        <v>130</v>
      </c>
      <c r="K25" s="3">
        <f t="shared" si="4"/>
        <v>180</v>
      </c>
      <c r="L25" s="13">
        <f t="shared" si="6"/>
        <v>2.255272505103306</v>
      </c>
      <c r="M25" s="3">
        <v>102.1</v>
      </c>
      <c r="N25" s="3">
        <v>17.600000000000001</v>
      </c>
      <c r="O25" s="12">
        <f t="shared" si="7"/>
        <v>1.8727842083020279</v>
      </c>
    </row>
    <row r="26" spans="1:15" x14ac:dyDescent="0.35">
      <c r="A26" s="3">
        <f t="shared" si="8"/>
        <v>24</v>
      </c>
      <c r="B26" s="3" t="s">
        <v>4</v>
      </c>
      <c r="C26" s="4">
        <v>9.6064814814814819E-4</v>
      </c>
      <c r="D26" s="4">
        <v>4.9768518518518521E-4</v>
      </c>
      <c r="E26" s="4">
        <v>1.3888888888888889E-3</v>
      </c>
      <c r="F26" s="3">
        <f t="shared" si="0"/>
        <v>24</v>
      </c>
      <c r="G26" s="3" t="str">
        <f t="shared" si="5"/>
        <v>100/60</v>
      </c>
      <c r="H26" s="12">
        <f t="shared" si="1"/>
        <v>1.768888888888889</v>
      </c>
      <c r="I26" s="3">
        <f t="shared" si="2"/>
        <v>83.000000000000014</v>
      </c>
      <c r="J26" s="3">
        <f t="shared" si="3"/>
        <v>43</v>
      </c>
      <c r="K26" s="3">
        <f t="shared" si="4"/>
        <v>120</v>
      </c>
      <c r="L26" s="13">
        <f t="shared" si="6"/>
        <v>2.0791812460476247</v>
      </c>
      <c r="M26" s="3">
        <v>59.7</v>
      </c>
      <c r="N26" s="3">
        <v>15</v>
      </c>
      <c r="O26" s="12">
        <f t="shared" si="7"/>
        <v>1.768888888888889</v>
      </c>
    </row>
    <row r="27" spans="1:15" x14ac:dyDescent="0.35">
      <c r="A27" s="3">
        <f t="shared" si="8"/>
        <v>25</v>
      </c>
      <c r="B27" s="3" t="s">
        <v>5</v>
      </c>
      <c r="C27" s="4">
        <v>6.8287037037037036E-4</v>
      </c>
      <c r="D27" s="4">
        <v>1.6203703703703703E-3</v>
      </c>
      <c r="E27" s="4">
        <v>1.3888888888888889E-3</v>
      </c>
      <c r="F27" s="3">
        <f t="shared" si="0"/>
        <v>25</v>
      </c>
      <c r="G27" s="3" t="str">
        <f t="shared" si="5"/>
        <v>100/0</v>
      </c>
      <c r="H27" s="12">
        <f t="shared" si="1"/>
        <v>1.797272542234887</v>
      </c>
      <c r="I27" s="3">
        <f t="shared" si="2"/>
        <v>59</v>
      </c>
      <c r="J27" s="3">
        <f t="shared" si="3"/>
        <v>140</v>
      </c>
      <c r="K27" s="3">
        <f t="shared" si="4"/>
        <v>120</v>
      </c>
      <c r="L27" s="13">
        <f t="shared" si="6"/>
        <v>2.0791812460476247</v>
      </c>
      <c r="M27" s="3">
        <v>88.3</v>
      </c>
      <c r="N27" s="3">
        <v>17</v>
      </c>
      <c r="O27" s="12">
        <f t="shared" si="7"/>
        <v>1.797272542234887</v>
      </c>
    </row>
    <row r="28" spans="1:15" x14ac:dyDescent="0.35">
      <c r="A28" s="3">
        <f t="shared" si="8"/>
        <v>26</v>
      </c>
      <c r="B28" s="3" t="s">
        <v>5</v>
      </c>
      <c r="C28" s="4">
        <v>5.3240740740740744E-4</v>
      </c>
      <c r="D28" s="4">
        <v>9.6064814814814819E-4</v>
      </c>
      <c r="E28" s="4">
        <v>2.0833333333333333E-3</v>
      </c>
      <c r="F28" s="3">
        <f t="shared" si="0"/>
        <v>26</v>
      </c>
      <c r="G28" s="3" t="str">
        <f t="shared" si="5"/>
        <v>100/0</v>
      </c>
      <c r="H28" s="12">
        <f t="shared" si="1"/>
        <v>1.6029629629629629</v>
      </c>
      <c r="I28" s="3">
        <f t="shared" si="2"/>
        <v>46</v>
      </c>
      <c r="J28" s="3">
        <f t="shared" si="3"/>
        <v>83.000000000000014</v>
      </c>
      <c r="K28" s="3">
        <f t="shared" si="4"/>
        <v>180</v>
      </c>
      <c r="L28" s="13">
        <f t="shared" si="6"/>
        <v>2.255272505103306</v>
      </c>
      <c r="M28" s="3">
        <v>54.1</v>
      </c>
      <c r="N28" s="3">
        <v>15</v>
      </c>
      <c r="O28" s="12">
        <f t="shared" si="7"/>
        <v>1.6029629629629629</v>
      </c>
    </row>
    <row r="29" spans="1:15" x14ac:dyDescent="0.35">
      <c r="A29" s="3">
        <f t="shared" si="8"/>
        <v>27</v>
      </c>
      <c r="B29" s="3" t="s">
        <v>5</v>
      </c>
      <c r="C29" s="4">
        <v>9.6064814814814819E-4</v>
      </c>
      <c r="D29" s="4">
        <v>1.6435185185185185E-3</v>
      </c>
      <c r="E29" s="4">
        <v>2.5462962962962965E-3</v>
      </c>
      <c r="F29" s="3">
        <f t="shared" si="0"/>
        <v>27</v>
      </c>
      <c r="G29" s="3" t="str">
        <f t="shared" si="5"/>
        <v>100/0</v>
      </c>
      <c r="H29" s="12">
        <f t="shared" si="1"/>
        <v>1.8033787909627519</v>
      </c>
      <c r="I29" s="3">
        <f t="shared" si="2"/>
        <v>83.000000000000014</v>
      </c>
      <c r="J29" s="3">
        <f t="shared" si="3"/>
        <v>142.00000000000003</v>
      </c>
      <c r="K29" s="3">
        <f t="shared" si="4"/>
        <v>220.00000000000003</v>
      </c>
      <c r="L29" s="13">
        <f t="shared" si="6"/>
        <v>2.3424226808222062</v>
      </c>
      <c r="M29" s="3">
        <v>88.6</v>
      </c>
      <c r="N29" s="3">
        <v>17</v>
      </c>
      <c r="O29" s="12">
        <f t="shared" si="7"/>
        <v>1.8033787909627519</v>
      </c>
    </row>
    <row r="30" spans="1:15" x14ac:dyDescent="0.35">
      <c r="A30" s="3">
        <f t="shared" si="8"/>
        <v>28</v>
      </c>
      <c r="B30" s="3" t="s">
        <v>5</v>
      </c>
      <c r="C30" s="4">
        <v>1.0763888888888889E-3</v>
      </c>
      <c r="D30" s="4">
        <v>1.6550925925925926E-3</v>
      </c>
      <c r="E30" s="4">
        <v>2.5462962962962965E-3</v>
      </c>
      <c r="F30" s="3">
        <f t="shared" si="0"/>
        <v>28</v>
      </c>
      <c r="G30" s="3" t="str">
        <f t="shared" si="5"/>
        <v>100/0</v>
      </c>
      <c r="H30" s="12">
        <f t="shared" si="1"/>
        <v>2.0124106074519301</v>
      </c>
      <c r="I30" s="3">
        <f t="shared" si="2"/>
        <v>93</v>
      </c>
      <c r="J30" s="3">
        <f t="shared" si="3"/>
        <v>143</v>
      </c>
      <c r="K30" s="3">
        <f t="shared" si="4"/>
        <v>220.00000000000003</v>
      </c>
      <c r="L30" s="13">
        <f t="shared" si="6"/>
        <v>2.3424226808222062</v>
      </c>
      <c r="M30" s="3">
        <v>90.4</v>
      </c>
      <c r="N30" s="3">
        <v>16.5</v>
      </c>
      <c r="O30" s="12">
        <f t="shared" si="7"/>
        <v>2.0124106074519301</v>
      </c>
    </row>
    <row r="31" spans="1:15" x14ac:dyDescent="0.35">
      <c r="A31" s="3">
        <f t="shared" si="8"/>
        <v>29</v>
      </c>
      <c r="B31" s="3" t="s">
        <v>5</v>
      </c>
      <c r="C31" s="4">
        <v>7.0601851851851847E-4</v>
      </c>
      <c r="D31" s="4">
        <v>1.2037037037037038E-3</v>
      </c>
      <c r="E31" s="4">
        <v>2.0833333333333333E-3</v>
      </c>
      <c r="F31" s="3">
        <f t="shared" si="0"/>
        <v>29</v>
      </c>
      <c r="G31" s="3" t="str">
        <f t="shared" si="5"/>
        <v>100/0</v>
      </c>
      <c r="H31" s="12">
        <f t="shared" si="1"/>
        <v>1.8133333333333335</v>
      </c>
      <c r="I31" s="3">
        <f t="shared" si="2"/>
        <v>61</v>
      </c>
      <c r="J31" s="3">
        <f t="shared" si="3"/>
        <v>104</v>
      </c>
      <c r="K31" s="3">
        <f t="shared" si="4"/>
        <v>180</v>
      </c>
      <c r="L31" s="13">
        <f t="shared" si="6"/>
        <v>2.255272505103306</v>
      </c>
      <c r="M31" s="3">
        <v>61.2</v>
      </c>
      <c r="N31" s="3">
        <v>15</v>
      </c>
      <c r="O31" s="12">
        <f t="shared" si="7"/>
        <v>1.8133333333333335</v>
      </c>
    </row>
    <row r="32" spans="1:15" x14ac:dyDescent="0.35">
      <c r="A32" s="3">
        <f t="shared" si="8"/>
        <v>30</v>
      </c>
      <c r="B32" s="3" t="s">
        <v>5</v>
      </c>
      <c r="C32" s="4">
        <v>9.0277777777777774E-4</v>
      </c>
      <c r="D32" s="4">
        <v>1.4236111111111112E-3</v>
      </c>
      <c r="E32" s="4">
        <v>1.9212962962962964E-3</v>
      </c>
      <c r="F32" s="3">
        <f t="shared" si="0"/>
        <v>30</v>
      </c>
      <c r="G32" s="3" t="str">
        <f t="shared" si="5"/>
        <v>100/0</v>
      </c>
      <c r="H32" s="12">
        <f t="shared" si="1"/>
        <v>1.7301038062283738</v>
      </c>
      <c r="I32" s="3">
        <f t="shared" si="2"/>
        <v>78</v>
      </c>
      <c r="J32" s="3">
        <f t="shared" si="3"/>
        <v>122.99999999999999</v>
      </c>
      <c r="K32" s="3">
        <f t="shared" si="4"/>
        <v>166.00000000000003</v>
      </c>
      <c r="L32" s="13">
        <f t="shared" si="6"/>
        <v>2.220108088040055</v>
      </c>
      <c r="M32" s="3">
        <v>85</v>
      </c>
      <c r="N32" s="3">
        <v>17</v>
      </c>
      <c r="O32" s="12">
        <f t="shared" si="7"/>
        <v>1.7301038062283738</v>
      </c>
    </row>
    <row r="33" spans="1:15" x14ac:dyDescent="0.35">
      <c r="A33" s="3">
        <f t="shared" si="8"/>
        <v>31</v>
      </c>
      <c r="B33" s="3" t="s">
        <v>5</v>
      </c>
      <c r="C33" s="4">
        <v>5.7870370370370367E-4</v>
      </c>
      <c r="D33" s="4">
        <v>1.3888888888888889E-3</v>
      </c>
      <c r="E33" s="4">
        <v>2.0833333333333333E-3</v>
      </c>
      <c r="F33" s="3">
        <f t="shared" si="0"/>
        <v>31</v>
      </c>
      <c r="G33" s="3" t="str">
        <f t="shared" si="5"/>
        <v>100/0</v>
      </c>
      <c r="H33" s="12">
        <f t="shared" si="1"/>
        <v>1.7125925925925927</v>
      </c>
      <c r="I33" s="3">
        <f t="shared" si="2"/>
        <v>49.999999999999993</v>
      </c>
      <c r="J33" s="3">
        <f t="shared" si="3"/>
        <v>120</v>
      </c>
      <c r="K33" s="3">
        <f t="shared" si="4"/>
        <v>180</v>
      </c>
      <c r="L33" s="13">
        <f t="shared" si="6"/>
        <v>2.255272505103306</v>
      </c>
      <c r="M33" s="3">
        <v>57.8</v>
      </c>
      <c r="N33" s="3">
        <v>15</v>
      </c>
      <c r="O33" s="12">
        <f t="shared" si="7"/>
        <v>1.7125925925925927</v>
      </c>
    </row>
    <row r="34" spans="1:15" x14ac:dyDescent="0.35">
      <c r="A34" s="3">
        <f t="shared" si="8"/>
        <v>32</v>
      </c>
      <c r="B34" s="3" t="s">
        <v>5</v>
      </c>
      <c r="C34" s="4">
        <v>5.9027777777777778E-4</v>
      </c>
      <c r="D34" s="4">
        <v>1.1574074074074073E-3</v>
      </c>
      <c r="E34" s="4">
        <v>2.0833333333333333E-3</v>
      </c>
      <c r="F34" s="3">
        <f t="shared" si="0"/>
        <v>32</v>
      </c>
      <c r="G34" s="3" t="str">
        <f t="shared" si="5"/>
        <v>100/0</v>
      </c>
      <c r="H34" s="12">
        <f t="shared" si="1"/>
        <v>1.7968513119533527</v>
      </c>
      <c r="I34" s="3">
        <f t="shared" si="2"/>
        <v>51.000000000000007</v>
      </c>
      <c r="J34" s="3">
        <f t="shared" si="3"/>
        <v>99.999999999999986</v>
      </c>
      <c r="K34" s="3">
        <f t="shared" si="4"/>
        <v>180</v>
      </c>
      <c r="L34" s="13">
        <f t="shared" si="6"/>
        <v>2.255272505103306</v>
      </c>
      <c r="M34" s="3">
        <v>96.3</v>
      </c>
      <c r="N34" s="3">
        <v>17.5</v>
      </c>
      <c r="O34" s="12">
        <f t="shared" si="7"/>
        <v>1.7968513119533527</v>
      </c>
    </row>
    <row r="35" spans="1:15" x14ac:dyDescent="0.35">
      <c r="A35" s="3">
        <f t="shared" si="8"/>
        <v>33</v>
      </c>
      <c r="B35" s="3" t="s">
        <v>5</v>
      </c>
      <c r="C35" s="4">
        <v>6.8287037037037036E-4</v>
      </c>
      <c r="D35" s="4">
        <v>1.4351851851851852E-3</v>
      </c>
      <c r="E35" s="4">
        <v>2.0833333333333333E-3</v>
      </c>
      <c r="F35" s="3">
        <f t="shared" si="0"/>
        <v>33</v>
      </c>
      <c r="G35" s="3" t="str">
        <f t="shared" si="5"/>
        <v>100/0</v>
      </c>
      <c r="H35" s="12">
        <f t="shared" si="1"/>
        <v>1.5689300411522635</v>
      </c>
      <c r="I35" s="3">
        <f t="shared" si="2"/>
        <v>59</v>
      </c>
      <c r="J35" s="3">
        <f t="shared" si="3"/>
        <v>123.99999999999999</v>
      </c>
      <c r="K35" s="3">
        <f t="shared" si="4"/>
        <v>180</v>
      </c>
      <c r="L35" s="13">
        <f t="shared" si="6"/>
        <v>2.255272505103306</v>
      </c>
      <c r="M35" s="3">
        <v>91.5</v>
      </c>
      <c r="N35" s="3">
        <v>18</v>
      </c>
      <c r="O35" s="12">
        <f t="shared" si="7"/>
        <v>1.5689300411522635</v>
      </c>
    </row>
    <row r="36" spans="1:15" x14ac:dyDescent="0.35">
      <c r="A36" s="3">
        <f t="shared" si="8"/>
        <v>34</v>
      </c>
      <c r="B36" s="3" t="s">
        <v>5</v>
      </c>
      <c r="C36" s="4">
        <v>8.1018518518518516E-4</v>
      </c>
      <c r="D36" s="4">
        <v>1.736111111111111E-3</v>
      </c>
      <c r="E36" s="4">
        <v>2.0833333333333333E-3</v>
      </c>
      <c r="F36" s="3">
        <f t="shared" si="0"/>
        <v>34</v>
      </c>
      <c r="G36" s="3" t="str">
        <f t="shared" si="5"/>
        <v>100/0</v>
      </c>
      <c r="H36" s="12">
        <f t="shared" si="1"/>
        <v>1.9189453124999998</v>
      </c>
      <c r="I36" s="3">
        <f t="shared" si="2"/>
        <v>70</v>
      </c>
      <c r="J36" s="3">
        <f t="shared" si="3"/>
        <v>150</v>
      </c>
      <c r="K36" s="3">
        <f t="shared" si="4"/>
        <v>180</v>
      </c>
      <c r="L36" s="13">
        <f t="shared" si="6"/>
        <v>2.255272505103306</v>
      </c>
      <c r="M36" s="3">
        <v>78.599999999999994</v>
      </c>
      <c r="N36" s="3">
        <v>16</v>
      </c>
      <c r="O36" s="12">
        <f t="shared" si="7"/>
        <v>1.9189453124999998</v>
      </c>
    </row>
    <row r="37" spans="1:15" x14ac:dyDescent="0.35">
      <c r="A37" s="3">
        <f t="shared" si="8"/>
        <v>35</v>
      </c>
      <c r="B37" s="3" t="s">
        <v>5</v>
      </c>
      <c r="C37" s="4">
        <v>6.2500000000000001E-4</v>
      </c>
      <c r="D37" s="4">
        <v>1.1574074074074073E-3</v>
      </c>
      <c r="E37" s="4">
        <v>1.8518518518518519E-3</v>
      </c>
      <c r="F37" s="3">
        <f t="shared" si="0"/>
        <v>35</v>
      </c>
      <c r="G37" s="3" t="str">
        <f t="shared" si="5"/>
        <v>100/0</v>
      </c>
      <c r="H37" s="12">
        <f t="shared" si="1"/>
        <v>1.8493115886805873</v>
      </c>
      <c r="I37" s="3">
        <f t="shared" si="2"/>
        <v>53.999999999999993</v>
      </c>
      <c r="J37" s="3">
        <f t="shared" si="3"/>
        <v>99.999999999999986</v>
      </c>
      <c r="K37" s="3">
        <f t="shared" si="4"/>
        <v>160.00000000000003</v>
      </c>
      <c r="L37" s="13">
        <f t="shared" si="6"/>
        <v>2.204119982655925</v>
      </c>
      <c r="M37" s="3">
        <v>45.5</v>
      </c>
      <c r="N37" s="3">
        <v>13.5</v>
      </c>
      <c r="O37" s="12">
        <f t="shared" si="7"/>
        <v>1.8493115886805873</v>
      </c>
    </row>
    <row r="38" spans="1:15" x14ac:dyDescent="0.35">
      <c r="A38" s="3">
        <f t="shared" si="8"/>
        <v>36</v>
      </c>
      <c r="B38" s="3" t="s">
        <v>5</v>
      </c>
      <c r="C38" s="4">
        <v>7.7546296296296293E-4</v>
      </c>
      <c r="D38" s="4">
        <v>1.3888888888888889E-3</v>
      </c>
      <c r="E38" s="4">
        <v>2.0833333333333333E-3</v>
      </c>
      <c r="F38" s="3">
        <f t="shared" si="0"/>
        <v>36</v>
      </c>
      <c r="G38" s="3" t="str">
        <f t="shared" si="5"/>
        <v>100/0</v>
      </c>
      <c r="H38" s="12">
        <f t="shared" si="1"/>
        <v>1.7641600694924289</v>
      </c>
      <c r="I38" s="3">
        <f t="shared" si="2"/>
        <v>66.999999999999986</v>
      </c>
      <c r="J38" s="3">
        <f t="shared" si="3"/>
        <v>120</v>
      </c>
      <c r="K38" s="3">
        <f t="shared" si="4"/>
        <v>180</v>
      </c>
      <c r="L38" s="13">
        <f t="shared" si="6"/>
        <v>2.255272505103306</v>
      </c>
      <c r="M38" s="3">
        <v>111.7</v>
      </c>
      <c r="N38" s="3">
        <v>18.5</v>
      </c>
      <c r="O38" s="12">
        <f t="shared" si="7"/>
        <v>1.7641600694924289</v>
      </c>
    </row>
    <row r="39" spans="1:15" x14ac:dyDescent="0.35">
      <c r="A39" s="3"/>
      <c r="B39" s="3"/>
      <c r="C39" s="4"/>
      <c r="D39" s="4"/>
      <c r="E39" s="4"/>
      <c r="F39" s="4"/>
      <c r="G39" s="3"/>
      <c r="I39" s="3"/>
      <c r="J39" s="3"/>
      <c r="K39" s="3"/>
      <c r="L39" s="3"/>
    </row>
    <row r="40" spans="1:15" x14ac:dyDescent="0.35">
      <c r="J40" t="s">
        <v>9</v>
      </c>
      <c r="K40" t="s">
        <v>1</v>
      </c>
    </row>
    <row r="41" spans="1:15" x14ac:dyDescent="0.35">
      <c r="I41" t="s">
        <v>6</v>
      </c>
      <c r="J41" s="5">
        <f>AVERAGE(J3:J38)</f>
        <v>142.27777777777777</v>
      </c>
      <c r="K41" s="5">
        <f t="shared" ref="K41" si="9">AVERAGE(K3:K38)</f>
        <v>193.38888888888889</v>
      </c>
      <c r="L41" s="5"/>
      <c r="M41" s="5">
        <f>AVERAGE(M3:M38)</f>
        <v>79.563888888888883</v>
      </c>
      <c r="N41" s="5">
        <f>AVERAGE(N3:N38)</f>
        <v>16.211111111111112</v>
      </c>
      <c r="O41" s="5">
        <f>AVERAGE(O3:O38)</f>
        <v>1.8303232508885428</v>
      </c>
    </row>
    <row r="42" spans="1:15" x14ac:dyDescent="0.35">
      <c r="I42" t="s">
        <v>7</v>
      </c>
      <c r="J42" s="3">
        <f t="shared" ref="J42:O42" si="10">MIN(J3:J38)</f>
        <v>43</v>
      </c>
      <c r="K42" s="3">
        <f t="shared" si="10"/>
        <v>120</v>
      </c>
      <c r="L42" s="3"/>
      <c r="M42" s="3">
        <f t="shared" si="10"/>
        <v>37.1</v>
      </c>
      <c r="N42" s="3">
        <f t="shared" si="10"/>
        <v>13</v>
      </c>
      <c r="O42" s="5">
        <f t="shared" si="10"/>
        <v>1.5689300411522635</v>
      </c>
    </row>
    <row r="43" spans="1:15" x14ac:dyDescent="0.35">
      <c r="I43" t="s">
        <v>8</v>
      </c>
      <c r="J43" s="3">
        <f t="shared" ref="J43:O43" si="11">MAX(J3:J38)</f>
        <v>245.99999999999997</v>
      </c>
      <c r="K43" s="3">
        <f t="shared" si="11"/>
        <v>320.00000000000006</v>
      </c>
      <c r="L43" s="3"/>
      <c r="M43" s="3">
        <f t="shared" si="11"/>
        <v>117.3</v>
      </c>
      <c r="N43" s="3">
        <f t="shared" si="11"/>
        <v>18.5</v>
      </c>
      <c r="O43" s="5">
        <f t="shared" si="11"/>
        <v>2.18868804664723</v>
      </c>
    </row>
    <row r="44" spans="1:15" x14ac:dyDescent="0.35">
      <c r="I44" t="s">
        <v>10</v>
      </c>
      <c r="J44" s="5"/>
      <c r="K44" s="5"/>
      <c r="L44" s="14" t="s">
        <v>13</v>
      </c>
      <c r="M44" s="5">
        <f>STDEV(M3:M38)</f>
        <v>20.617872313363456</v>
      </c>
      <c r="N44" s="5">
        <f>STDEV(N3:N38)</f>
        <v>1.4585271979985794</v>
      </c>
      <c r="O44" s="5">
        <f>STDEV(O3:O38)</f>
        <v>0.14400142510891767</v>
      </c>
    </row>
    <row r="45" spans="1:15" x14ac:dyDescent="0.35">
      <c r="I45" s="3"/>
    </row>
    <row r="46" spans="1:15" x14ac:dyDescent="0.35">
      <c r="I46" s="3"/>
    </row>
    <row r="47" spans="1:15" x14ac:dyDescent="0.35">
      <c r="I47" s="3"/>
    </row>
  </sheetData>
  <mergeCells count="2">
    <mergeCell ref="C1:E1"/>
    <mergeCell ref="I1:K1"/>
  </mergeCells>
  <phoneticPr fontId="3" type="noConversion"/>
  <conditionalFormatting sqref="H3:H38">
    <cfRule type="cellIs" dxfId="0" priority="1" operator="lessThan">
      <formula>1.5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1201-7F62-4EC4-8030-2072D2554B18}">
  <dimension ref="B1:H18"/>
  <sheetViews>
    <sheetView workbookViewId="0">
      <selection activeCell="G2" sqref="G2"/>
    </sheetView>
  </sheetViews>
  <sheetFormatPr baseColWidth="10" defaultRowHeight="14.5" x14ac:dyDescent="0.35"/>
  <cols>
    <col min="4" max="4" width="12.7265625" customWidth="1"/>
  </cols>
  <sheetData>
    <row r="1" spans="2:8" x14ac:dyDescent="0.35">
      <c r="G1" t="s">
        <v>17</v>
      </c>
    </row>
    <row r="2" spans="2:8" x14ac:dyDescent="0.35">
      <c r="B2" s="2" t="s">
        <v>29</v>
      </c>
      <c r="C2" t="s">
        <v>15</v>
      </c>
      <c r="D2" t="s">
        <v>26</v>
      </c>
      <c r="E2" t="s">
        <v>25</v>
      </c>
      <c r="F2" t="s">
        <v>16</v>
      </c>
      <c r="G2" t="s">
        <v>34</v>
      </c>
    </row>
    <row r="3" spans="2:8" x14ac:dyDescent="0.35">
      <c r="B3" t="s">
        <v>14</v>
      </c>
    </row>
    <row r="4" spans="2:8" x14ac:dyDescent="0.35">
      <c r="B4" t="s">
        <v>5</v>
      </c>
      <c r="C4">
        <v>64.330100000000002</v>
      </c>
      <c r="D4">
        <v>5.2613099999999999</v>
      </c>
      <c r="E4">
        <v>53.613100000000003</v>
      </c>
      <c r="F4">
        <v>75.046999999999997</v>
      </c>
      <c r="G4" s="16">
        <f>F4-C4</f>
        <v>10.716899999999995</v>
      </c>
      <c r="H4" s="15"/>
    </row>
    <row r="5" spans="2:8" x14ac:dyDescent="0.35">
      <c r="B5" t="s">
        <v>4</v>
      </c>
      <c r="C5">
        <v>71.590299999999999</v>
      </c>
      <c r="D5">
        <v>5.3265799999999999</v>
      </c>
      <c r="E5">
        <v>60.740400000000001</v>
      </c>
      <c r="F5">
        <v>82.440200000000004</v>
      </c>
      <c r="G5" s="16">
        <f>F5-C5</f>
        <v>10.849900000000005</v>
      </c>
    </row>
    <row r="6" spans="2:8" x14ac:dyDescent="0.35">
      <c r="B6" t="s">
        <v>3</v>
      </c>
      <c r="C6">
        <v>66.912999999999997</v>
      </c>
      <c r="D6">
        <v>5.3155700000000001</v>
      </c>
      <c r="E6">
        <v>56.085500000000003</v>
      </c>
      <c r="F6">
        <v>77.740499999999997</v>
      </c>
      <c r="G6" s="16">
        <f>F6-C6</f>
        <v>10.827500000000001</v>
      </c>
    </row>
    <row r="7" spans="2:8" x14ac:dyDescent="0.35">
      <c r="G7" s="16"/>
    </row>
    <row r="8" spans="2:8" x14ac:dyDescent="0.35">
      <c r="B8" s="3" t="s">
        <v>21</v>
      </c>
      <c r="G8" s="16"/>
    </row>
    <row r="9" spans="2:8" x14ac:dyDescent="0.35">
      <c r="B9" t="s">
        <v>14</v>
      </c>
      <c r="G9" s="16"/>
    </row>
    <row r="10" spans="2:8" x14ac:dyDescent="0.35">
      <c r="B10" t="s">
        <v>5</v>
      </c>
      <c r="C10">
        <v>121.075</v>
      </c>
      <c r="D10">
        <v>11.7674</v>
      </c>
      <c r="E10">
        <v>97.105400000000003</v>
      </c>
      <c r="F10">
        <v>145.04400000000001</v>
      </c>
      <c r="G10" s="16">
        <f t="shared" ref="G10:G18" si="0">F10-C10</f>
        <v>23.969000000000008</v>
      </c>
    </row>
    <row r="11" spans="2:8" x14ac:dyDescent="0.35">
      <c r="B11" t="s">
        <v>4</v>
      </c>
      <c r="C11">
        <v>150.31</v>
      </c>
      <c r="D11">
        <v>11.9133</v>
      </c>
      <c r="E11">
        <v>126.04300000000001</v>
      </c>
      <c r="F11">
        <v>174.577</v>
      </c>
      <c r="G11" s="16">
        <f t="shared" si="0"/>
        <v>24.266999999999996</v>
      </c>
    </row>
    <row r="12" spans="2:8" x14ac:dyDescent="0.35">
      <c r="B12" t="s">
        <v>3</v>
      </c>
      <c r="C12">
        <v>155.44900000000001</v>
      </c>
      <c r="D12">
        <v>11.8887</v>
      </c>
      <c r="E12">
        <v>131.232</v>
      </c>
      <c r="F12">
        <v>179.66499999999999</v>
      </c>
      <c r="G12" s="16">
        <f t="shared" si="0"/>
        <v>24.21599999999998</v>
      </c>
    </row>
    <row r="13" spans="2:8" x14ac:dyDescent="0.35">
      <c r="G13" s="16"/>
    </row>
    <row r="14" spans="2:8" x14ac:dyDescent="0.35">
      <c r="B14" t="s">
        <v>22</v>
      </c>
      <c r="G14" s="16"/>
    </row>
    <row r="15" spans="2:8" x14ac:dyDescent="0.35">
      <c r="B15" t="s">
        <v>14</v>
      </c>
      <c r="G15" s="16"/>
    </row>
    <row r="16" spans="2:8" x14ac:dyDescent="0.35">
      <c r="B16" t="s">
        <v>5</v>
      </c>
      <c r="C16">
        <v>178.81</v>
      </c>
      <c r="D16">
        <v>10.4526</v>
      </c>
      <c r="E16">
        <v>157.51900000000001</v>
      </c>
      <c r="F16">
        <v>200.101</v>
      </c>
      <c r="G16" s="16">
        <f t="shared" si="0"/>
        <v>21.290999999999997</v>
      </c>
    </row>
    <row r="17" spans="2:7" x14ac:dyDescent="0.35">
      <c r="B17" t="s">
        <v>4</v>
      </c>
      <c r="C17">
        <v>204.012</v>
      </c>
      <c r="D17">
        <v>10.5822</v>
      </c>
      <c r="E17">
        <v>182.45699999999999</v>
      </c>
      <c r="F17">
        <v>225.56700000000001</v>
      </c>
      <c r="G17" s="16">
        <f t="shared" si="0"/>
        <v>21.555000000000007</v>
      </c>
    </row>
    <row r="18" spans="2:7" x14ac:dyDescent="0.35">
      <c r="B18" t="s">
        <v>3</v>
      </c>
      <c r="C18">
        <v>197.34399999999999</v>
      </c>
      <c r="D18">
        <v>10.5604</v>
      </c>
      <c r="E18">
        <v>175.834</v>
      </c>
      <c r="F18">
        <v>218.85499999999999</v>
      </c>
      <c r="G18" s="16">
        <f t="shared" si="0"/>
        <v>21.510999999999996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E356-C494-41A6-9512-99771086A3BB}">
  <dimension ref="A1:AG328"/>
  <sheetViews>
    <sheetView zoomScale="130" zoomScaleNormal="130" workbookViewId="0">
      <selection activeCell="N1" sqref="N1:V1"/>
    </sheetView>
  </sheetViews>
  <sheetFormatPr baseColWidth="10" defaultRowHeight="14.5" x14ac:dyDescent="0.35"/>
  <cols>
    <col min="3" max="3" width="2.81640625" style="6" bestFit="1" customWidth="1"/>
    <col min="4" max="4" width="2.81640625" bestFit="1" customWidth="1"/>
    <col min="5" max="5" width="2.81640625" style="7" bestFit="1" customWidth="1"/>
    <col min="6" max="6" width="2.81640625" style="6" bestFit="1" customWidth="1"/>
    <col min="7" max="7" width="3.81640625" bestFit="1" customWidth="1"/>
    <col min="8" max="8" width="4.81640625" style="7" bestFit="1" customWidth="1"/>
    <col min="9" max="9" width="3.81640625" style="6" bestFit="1" customWidth="1"/>
    <col min="10" max="10" width="3.81640625" bestFit="1" customWidth="1"/>
    <col min="11" max="11" width="4.81640625" style="7" bestFit="1" customWidth="1"/>
    <col min="12" max="12" width="5" customWidth="1"/>
    <col min="14" max="14" width="2.81640625" style="6" bestFit="1" customWidth="1"/>
    <col min="15" max="15" width="3.81640625" bestFit="1" customWidth="1"/>
    <col min="16" max="16" width="3.81640625" style="7" bestFit="1" customWidth="1"/>
    <col min="17" max="17" width="3.81640625" style="6" bestFit="1" customWidth="1"/>
    <col min="18" max="18" width="3.81640625" bestFit="1" customWidth="1"/>
    <col min="19" max="19" width="4.81640625" style="7" bestFit="1" customWidth="1"/>
    <col min="20" max="20" width="3.81640625" style="6" bestFit="1" customWidth="1"/>
    <col min="21" max="21" width="3.81640625" bestFit="1" customWidth="1"/>
    <col min="22" max="22" width="4.81640625" style="7" bestFit="1" customWidth="1"/>
    <col min="23" max="23" width="4.81640625" customWidth="1"/>
    <col min="24" max="24" width="10.90625" bestFit="1" customWidth="1"/>
    <col min="25" max="25" width="10.90625" style="3"/>
    <col min="27" max="27" width="11.81640625" bestFit="1" customWidth="1"/>
    <col min="28" max="28" width="15" bestFit="1" customWidth="1"/>
  </cols>
  <sheetData>
    <row r="1" spans="1:33" x14ac:dyDescent="0.35">
      <c r="A1" s="1"/>
      <c r="B1" s="2" t="s">
        <v>18</v>
      </c>
      <c r="C1" s="22" t="s">
        <v>35</v>
      </c>
      <c r="D1" s="23"/>
      <c r="E1" s="23"/>
      <c r="F1" s="23"/>
      <c r="G1" s="23"/>
      <c r="H1" s="23"/>
      <c r="I1" s="23"/>
      <c r="J1" s="23"/>
      <c r="K1" s="23"/>
      <c r="M1" s="2" t="s">
        <v>18</v>
      </c>
      <c r="N1" s="22" t="s">
        <v>35</v>
      </c>
      <c r="O1" s="23"/>
      <c r="P1" s="23"/>
      <c r="Q1" s="23"/>
      <c r="R1" s="23"/>
      <c r="S1" s="23"/>
      <c r="T1" s="23"/>
      <c r="U1" s="23"/>
      <c r="V1" s="23"/>
      <c r="W1" s="3"/>
      <c r="X1" s="3"/>
      <c r="Y1" s="2"/>
    </row>
    <row r="2" spans="1:33" x14ac:dyDescent="0.35">
      <c r="A2" s="1" t="s">
        <v>0</v>
      </c>
      <c r="B2" s="2" t="s">
        <v>2</v>
      </c>
      <c r="C2" s="8">
        <v>20</v>
      </c>
      <c r="D2" s="2">
        <f>C2+20</f>
        <v>40</v>
      </c>
      <c r="E2" s="2">
        <f t="shared" ref="E2:K2" si="0">D2+20</f>
        <v>60</v>
      </c>
      <c r="F2" s="2">
        <f t="shared" si="0"/>
        <v>80</v>
      </c>
      <c r="G2" s="2">
        <f t="shared" si="0"/>
        <v>100</v>
      </c>
      <c r="H2" s="2">
        <f t="shared" si="0"/>
        <v>120</v>
      </c>
      <c r="I2" s="2">
        <f t="shared" si="0"/>
        <v>140</v>
      </c>
      <c r="J2" s="2">
        <f t="shared" si="0"/>
        <v>160</v>
      </c>
      <c r="K2" s="2">
        <f t="shared" si="0"/>
        <v>180</v>
      </c>
      <c r="M2" s="2" t="s">
        <v>2</v>
      </c>
      <c r="N2" s="8">
        <v>20</v>
      </c>
      <c r="O2" s="2">
        <f>N2+20</f>
        <v>40</v>
      </c>
      <c r="P2" s="2">
        <f t="shared" ref="P2:V2" si="1">O2+20</f>
        <v>60</v>
      </c>
      <c r="Q2" s="2">
        <f t="shared" si="1"/>
        <v>80</v>
      </c>
      <c r="R2" s="2">
        <f t="shared" si="1"/>
        <v>100</v>
      </c>
      <c r="S2" s="2">
        <f t="shared" si="1"/>
        <v>120</v>
      </c>
      <c r="T2" s="2">
        <f t="shared" si="1"/>
        <v>140</v>
      </c>
      <c r="U2" s="2">
        <f t="shared" si="1"/>
        <v>160</v>
      </c>
      <c r="V2" s="9">
        <f t="shared" si="1"/>
        <v>180</v>
      </c>
      <c r="W2" s="2"/>
      <c r="X2" s="2" t="s">
        <v>18</v>
      </c>
      <c r="Y2" s="2" t="s">
        <v>19</v>
      </c>
      <c r="Z2" s="2" t="s">
        <v>20</v>
      </c>
      <c r="AA2" s="1" t="s">
        <v>32</v>
      </c>
      <c r="AB2" s="1"/>
      <c r="AF2" s="3"/>
      <c r="AG2" s="3"/>
    </row>
    <row r="3" spans="1:33" x14ac:dyDescent="0.35">
      <c r="A3" s="3">
        <v>1</v>
      </c>
      <c r="B3" s="3" t="s">
        <v>3</v>
      </c>
      <c r="C3" s="10">
        <v>5</v>
      </c>
      <c r="D3" s="3">
        <v>13</v>
      </c>
      <c r="E3" s="11">
        <v>23</v>
      </c>
      <c r="F3" s="10">
        <v>15</v>
      </c>
      <c r="G3" s="3">
        <v>21</v>
      </c>
      <c r="H3" s="11">
        <v>27</v>
      </c>
      <c r="I3" s="10">
        <v>19</v>
      </c>
      <c r="J3" s="3">
        <v>16</v>
      </c>
      <c r="K3" s="11">
        <f>AVERAGE(I3:J3)</f>
        <v>17.5</v>
      </c>
      <c r="M3" s="3" t="str">
        <f>B3</f>
        <v>100/80</v>
      </c>
      <c r="N3" s="10">
        <f>C3*3</f>
        <v>15</v>
      </c>
      <c r="O3" s="10">
        <f t="shared" ref="O3:V3" si="2">D3*3</f>
        <v>39</v>
      </c>
      <c r="P3" s="10">
        <f t="shared" si="2"/>
        <v>69</v>
      </c>
      <c r="Q3" s="10">
        <f t="shared" si="2"/>
        <v>45</v>
      </c>
      <c r="R3" s="10">
        <f t="shared" si="2"/>
        <v>63</v>
      </c>
      <c r="S3" s="10">
        <f t="shared" si="2"/>
        <v>81</v>
      </c>
      <c r="T3" s="10">
        <f t="shared" si="2"/>
        <v>57</v>
      </c>
      <c r="U3" s="10">
        <f t="shared" si="2"/>
        <v>48</v>
      </c>
      <c r="V3" s="17">
        <f t="shared" si="2"/>
        <v>52.5</v>
      </c>
      <c r="W3" s="3"/>
      <c r="X3" s="3" t="s">
        <v>3</v>
      </c>
      <c r="Y3" s="3">
        <v>1</v>
      </c>
      <c r="Z3" s="3">
        <v>20</v>
      </c>
      <c r="AA3" s="3">
        <v>15</v>
      </c>
      <c r="AF3" s="3"/>
      <c r="AG3" s="3"/>
    </row>
    <row r="4" spans="1:33" x14ac:dyDescent="0.35">
      <c r="A4" s="3">
        <f>A3+1</f>
        <v>2</v>
      </c>
      <c r="B4" s="3" t="s">
        <v>4</v>
      </c>
      <c r="C4" s="10">
        <v>21</v>
      </c>
      <c r="D4" s="3">
        <v>15</v>
      </c>
      <c r="E4" s="11">
        <v>15</v>
      </c>
      <c r="F4" s="10">
        <v>16</v>
      </c>
      <c r="G4" s="3">
        <v>17</v>
      </c>
      <c r="H4" s="11">
        <v>18</v>
      </c>
      <c r="I4" s="10">
        <v>18</v>
      </c>
      <c r="J4" s="3">
        <v>17</v>
      </c>
      <c r="K4" s="11">
        <v>21</v>
      </c>
      <c r="M4" s="3" t="str">
        <f t="shared" ref="M4:M38" si="3">B4</f>
        <v>100/60</v>
      </c>
      <c r="N4" s="10">
        <f t="shared" ref="N4:N38" si="4">C4*3</f>
        <v>63</v>
      </c>
      <c r="O4" s="10">
        <f t="shared" ref="O4:O38" si="5">D4*3</f>
        <v>45</v>
      </c>
      <c r="P4" s="10">
        <f t="shared" ref="P4:P38" si="6">E4*3</f>
        <v>45</v>
      </c>
      <c r="Q4" s="10">
        <f t="shared" ref="Q4:Q38" si="7">F4*3</f>
        <v>48</v>
      </c>
      <c r="R4" s="10">
        <f t="shared" ref="R4:R38" si="8">G4*3</f>
        <v>51</v>
      </c>
      <c r="S4" s="10">
        <f t="shared" ref="S4:S38" si="9">H4*3</f>
        <v>54</v>
      </c>
      <c r="T4" s="10">
        <f t="shared" ref="T4:T38" si="10">I4*3</f>
        <v>54</v>
      </c>
      <c r="U4" s="10">
        <f t="shared" ref="U4:U38" si="11">J4*3</f>
        <v>51</v>
      </c>
      <c r="V4" s="17">
        <f t="shared" ref="V4:V38" si="12">K4*3</f>
        <v>63</v>
      </c>
      <c r="W4" s="3"/>
      <c r="X4" s="3" t="s">
        <v>4</v>
      </c>
      <c r="Y4" s="3">
        <v>1</v>
      </c>
      <c r="Z4" s="3">
        <v>20</v>
      </c>
      <c r="AA4" s="3">
        <v>63</v>
      </c>
      <c r="AF4" s="3"/>
      <c r="AG4" s="3"/>
    </row>
    <row r="5" spans="1:33" x14ac:dyDescent="0.35">
      <c r="A5" s="3">
        <f t="shared" ref="A5:A38" si="13">A4+1</f>
        <v>3</v>
      </c>
      <c r="B5" s="3" t="s">
        <v>4</v>
      </c>
      <c r="C5" s="10">
        <v>7</v>
      </c>
      <c r="D5" s="3">
        <v>20</v>
      </c>
      <c r="E5" s="11">
        <v>22</v>
      </c>
      <c r="F5" s="10">
        <v>23</v>
      </c>
      <c r="G5" s="3">
        <v>18</v>
      </c>
      <c r="H5" s="11">
        <v>19</v>
      </c>
      <c r="I5" s="10">
        <v>16</v>
      </c>
      <c r="J5" s="3">
        <v>16</v>
      </c>
      <c r="K5" s="11">
        <v>17</v>
      </c>
      <c r="M5" s="3" t="str">
        <f t="shared" si="3"/>
        <v>100/60</v>
      </c>
      <c r="N5" s="10">
        <f t="shared" si="4"/>
        <v>21</v>
      </c>
      <c r="O5" s="10">
        <f t="shared" si="5"/>
        <v>60</v>
      </c>
      <c r="P5" s="10">
        <f t="shared" si="6"/>
        <v>66</v>
      </c>
      <c r="Q5" s="10">
        <f t="shared" si="7"/>
        <v>69</v>
      </c>
      <c r="R5" s="10">
        <f t="shared" si="8"/>
        <v>54</v>
      </c>
      <c r="S5" s="10">
        <f t="shared" si="9"/>
        <v>57</v>
      </c>
      <c r="T5" s="10">
        <f t="shared" si="10"/>
        <v>48</v>
      </c>
      <c r="U5" s="10">
        <f t="shared" si="11"/>
        <v>48</v>
      </c>
      <c r="V5" s="17">
        <f t="shared" si="12"/>
        <v>51</v>
      </c>
      <c r="W5" s="3"/>
      <c r="X5" s="3" t="s">
        <v>4</v>
      </c>
      <c r="Y5" s="3">
        <v>2</v>
      </c>
      <c r="Z5" s="3">
        <v>20</v>
      </c>
      <c r="AA5" s="3">
        <v>21</v>
      </c>
      <c r="AF5" s="3"/>
      <c r="AG5" s="3"/>
    </row>
    <row r="6" spans="1:33" x14ac:dyDescent="0.35">
      <c r="A6" s="3">
        <f t="shared" si="13"/>
        <v>4</v>
      </c>
      <c r="B6" s="3" t="s">
        <v>3</v>
      </c>
      <c r="C6" s="10">
        <v>8</v>
      </c>
      <c r="D6" s="3">
        <v>28</v>
      </c>
      <c r="E6" s="11">
        <v>38</v>
      </c>
      <c r="F6" s="10">
        <v>25</v>
      </c>
      <c r="G6" s="3">
        <v>28</v>
      </c>
      <c r="H6" s="11">
        <v>24</v>
      </c>
      <c r="I6" s="10">
        <v>29</v>
      </c>
      <c r="J6" s="3">
        <v>31</v>
      </c>
      <c r="K6" s="11">
        <v>29</v>
      </c>
      <c r="M6" s="3" t="str">
        <f t="shared" si="3"/>
        <v>100/80</v>
      </c>
      <c r="N6" s="10">
        <f t="shared" si="4"/>
        <v>24</v>
      </c>
      <c r="O6" s="10">
        <f t="shared" si="5"/>
        <v>84</v>
      </c>
      <c r="P6" s="10">
        <f t="shared" si="6"/>
        <v>114</v>
      </c>
      <c r="Q6" s="10">
        <f t="shared" si="7"/>
        <v>75</v>
      </c>
      <c r="R6" s="10">
        <f t="shared" si="8"/>
        <v>84</v>
      </c>
      <c r="S6" s="10">
        <f t="shared" si="9"/>
        <v>72</v>
      </c>
      <c r="T6" s="10">
        <f t="shared" si="10"/>
        <v>87</v>
      </c>
      <c r="U6" s="10">
        <f t="shared" si="11"/>
        <v>93</v>
      </c>
      <c r="V6" s="17">
        <f t="shared" si="12"/>
        <v>87</v>
      </c>
      <c r="W6" s="3"/>
      <c r="X6" s="3" t="s">
        <v>3</v>
      </c>
      <c r="Y6" s="3">
        <v>2</v>
      </c>
      <c r="Z6" s="3">
        <v>20</v>
      </c>
      <c r="AA6" s="3">
        <v>24</v>
      </c>
      <c r="AF6" s="3"/>
      <c r="AG6" s="3"/>
    </row>
    <row r="7" spans="1:33" x14ac:dyDescent="0.35">
      <c r="A7" s="3">
        <f t="shared" si="13"/>
        <v>5</v>
      </c>
      <c r="B7" s="3" t="s">
        <v>4</v>
      </c>
      <c r="C7" s="10">
        <v>5</v>
      </c>
      <c r="D7" s="3">
        <v>20</v>
      </c>
      <c r="E7" s="11">
        <v>22</v>
      </c>
      <c r="F7" s="10">
        <v>17</v>
      </c>
      <c r="G7" s="3">
        <v>21</v>
      </c>
      <c r="H7" s="11">
        <v>20</v>
      </c>
      <c r="I7" s="10">
        <v>18</v>
      </c>
      <c r="J7" s="3">
        <v>18</v>
      </c>
      <c r="K7" s="11">
        <f>AVERAGE(I7:J7)</f>
        <v>18</v>
      </c>
      <c r="M7" s="3" t="str">
        <f t="shared" si="3"/>
        <v>100/60</v>
      </c>
      <c r="N7" s="10">
        <f t="shared" si="4"/>
        <v>15</v>
      </c>
      <c r="O7" s="10">
        <f t="shared" si="5"/>
        <v>60</v>
      </c>
      <c r="P7" s="10">
        <f t="shared" si="6"/>
        <v>66</v>
      </c>
      <c r="Q7" s="10">
        <f t="shared" si="7"/>
        <v>51</v>
      </c>
      <c r="R7" s="10">
        <f t="shared" si="8"/>
        <v>63</v>
      </c>
      <c r="S7" s="10">
        <f t="shared" si="9"/>
        <v>60</v>
      </c>
      <c r="T7" s="10">
        <f t="shared" si="10"/>
        <v>54</v>
      </c>
      <c r="U7" s="10">
        <f t="shared" si="11"/>
        <v>54</v>
      </c>
      <c r="V7" s="17">
        <f t="shared" si="12"/>
        <v>54</v>
      </c>
      <c r="W7" s="3"/>
      <c r="X7" s="3" t="s">
        <v>4</v>
      </c>
      <c r="Y7" s="3">
        <v>3</v>
      </c>
      <c r="Z7" s="3">
        <v>20</v>
      </c>
      <c r="AA7" s="3">
        <v>15</v>
      </c>
      <c r="AF7" s="3"/>
      <c r="AG7" s="3"/>
    </row>
    <row r="8" spans="1:33" x14ac:dyDescent="0.35">
      <c r="A8" s="3">
        <f t="shared" si="13"/>
        <v>6</v>
      </c>
      <c r="B8" s="3" t="s">
        <v>3</v>
      </c>
      <c r="C8" s="10">
        <v>20</v>
      </c>
      <c r="D8" s="3">
        <v>26</v>
      </c>
      <c r="E8" s="11">
        <v>26</v>
      </c>
      <c r="F8" s="10">
        <v>18</v>
      </c>
      <c r="G8" s="3">
        <v>22</v>
      </c>
      <c r="H8" s="11">
        <v>24</v>
      </c>
      <c r="I8" s="10">
        <v>18</v>
      </c>
      <c r="J8" s="3">
        <v>18</v>
      </c>
      <c r="K8" s="11">
        <v>18</v>
      </c>
      <c r="M8" s="3" t="str">
        <f t="shared" si="3"/>
        <v>100/80</v>
      </c>
      <c r="N8" s="10">
        <f t="shared" si="4"/>
        <v>60</v>
      </c>
      <c r="O8" s="10">
        <f t="shared" si="5"/>
        <v>78</v>
      </c>
      <c r="P8" s="10">
        <f t="shared" si="6"/>
        <v>78</v>
      </c>
      <c r="Q8" s="10">
        <f t="shared" si="7"/>
        <v>54</v>
      </c>
      <c r="R8" s="10">
        <f t="shared" si="8"/>
        <v>66</v>
      </c>
      <c r="S8" s="10">
        <f t="shared" si="9"/>
        <v>72</v>
      </c>
      <c r="T8" s="10">
        <f t="shared" si="10"/>
        <v>54</v>
      </c>
      <c r="U8" s="10">
        <f t="shared" si="11"/>
        <v>54</v>
      </c>
      <c r="V8" s="17">
        <f t="shared" si="12"/>
        <v>54</v>
      </c>
      <c r="W8" s="3"/>
      <c r="X8" s="3" t="s">
        <v>3</v>
      </c>
      <c r="Y8" s="3">
        <v>3</v>
      </c>
      <c r="Z8" s="3">
        <v>20</v>
      </c>
      <c r="AA8" s="3">
        <v>60</v>
      </c>
      <c r="AF8" s="3"/>
      <c r="AG8" s="3"/>
    </row>
    <row r="9" spans="1:33" x14ac:dyDescent="0.35">
      <c r="A9" s="3">
        <f t="shared" si="13"/>
        <v>7</v>
      </c>
      <c r="B9" s="3" t="s">
        <v>4</v>
      </c>
      <c r="C9" s="10">
        <v>4</v>
      </c>
      <c r="D9" s="3">
        <v>30</v>
      </c>
      <c r="E9" s="11">
        <v>33</v>
      </c>
      <c r="F9" s="10">
        <v>37</v>
      </c>
      <c r="G9" s="3">
        <v>38</v>
      </c>
      <c r="H9" s="11">
        <v>37</v>
      </c>
      <c r="I9" s="10">
        <v>24</v>
      </c>
      <c r="J9" s="3">
        <v>24</v>
      </c>
      <c r="K9" s="11">
        <v>24</v>
      </c>
      <c r="M9" s="3" t="str">
        <f t="shared" si="3"/>
        <v>100/60</v>
      </c>
      <c r="N9" s="10">
        <f t="shared" si="4"/>
        <v>12</v>
      </c>
      <c r="O9" s="10">
        <f t="shared" si="5"/>
        <v>90</v>
      </c>
      <c r="P9" s="10">
        <f t="shared" si="6"/>
        <v>99</v>
      </c>
      <c r="Q9" s="10">
        <f t="shared" si="7"/>
        <v>111</v>
      </c>
      <c r="R9" s="10">
        <f t="shared" si="8"/>
        <v>114</v>
      </c>
      <c r="S9" s="10">
        <f t="shared" si="9"/>
        <v>111</v>
      </c>
      <c r="T9" s="10">
        <f t="shared" si="10"/>
        <v>72</v>
      </c>
      <c r="U9" s="10">
        <f t="shared" si="11"/>
        <v>72</v>
      </c>
      <c r="V9" s="17">
        <f t="shared" si="12"/>
        <v>72</v>
      </c>
      <c r="W9" s="3"/>
      <c r="X9" s="3" t="s">
        <v>4</v>
      </c>
      <c r="Y9" s="3">
        <v>4</v>
      </c>
      <c r="Z9" s="3">
        <v>20</v>
      </c>
      <c r="AA9" s="3">
        <v>12</v>
      </c>
      <c r="AF9" s="3"/>
      <c r="AG9" s="3"/>
    </row>
    <row r="10" spans="1:33" x14ac:dyDescent="0.35">
      <c r="A10" s="3">
        <f t="shared" si="13"/>
        <v>8</v>
      </c>
      <c r="B10" s="3" t="s">
        <v>3</v>
      </c>
      <c r="C10" s="10">
        <v>10</v>
      </c>
      <c r="D10" s="3">
        <v>25</v>
      </c>
      <c r="E10" s="11">
        <v>32</v>
      </c>
      <c r="F10" s="10">
        <v>27</v>
      </c>
      <c r="G10" s="3">
        <v>24</v>
      </c>
      <c r="H10" s="11">
        <v>29</v>
      </c>
      <c r="I10" s="10">
        <v>25</v>
      </c>
      <c r="J10" s="3">
        <v>24</v>
      </c>
      <c r="K10" s="11">
        <v>22</v>
      </c>
      <c r="M10" s="3" t="str">
        <f t="shared" si="3"/>
        <v>100/80</v>
      </c>
      <c r="N10" s="10">
        <f t="shared" si="4"/>
        <v>30</v>
      </c>
      <c r="O10" s="10">
        <f t="shared" si="5"/>
        <v>75</v>
      </c>
      <c r="P10" s="10">
        <f t="shared" si="6"/>
        <v>96</v>
      </c>
      <c r="Q10" s="10">
        <f t="shared" si="7"/>
        <v>81</v>
      </c>
      <c r="R10" s="10">
        <f t="shared" si="8"/>
        <v>72</v>
      </c>
      <c r="S10" s="10">
        <f t="shared" si="9"/>
        <v>87</v>
      </c>
      <c r="T10" s="10">
        <f t="shared" si="10"/>
        <v>75</v>
      </c>
      <c r="U10" s="10">
        <f t="shared" si="11"/>
        <v>72</v>
      </c>
      <c r="V10" s="17">
        <f t="shared" si="12"/>
        <v>66</v>
      </c>
      <c r="W10" s="3"/>
      <c r="X10" s="3" t="s">
        <v>3</v>
      </c>
      <c r="Y10" s="3">
        <v>4</v>
      </c>
      <c r="Z10" s="3">
        <v>20</v>
      </c>
      <c r="AA10" s="3">
        <v>30</v>
      </c>
      <c r="AF10" s="3"/>
      <c r="AG10" s="3"/>
    </row>
    <row r="11" spans="1:33" x14ac:dyDescent="0.35">
      <c r="A11" s="3">
        <f t="shared" si="13"/>
        <v>9</v>
      </c>
      <c r="B11" s="3" t="s">
        <v>3</v>
      </c>
      <c r="C11" s="10">
        <v>0</v>
      </c>
      <c r="D11" s="3">
        <v>20</v>
      </c>
      <c r="E11" s="11">
        <v>31</v>
      </c>
      <c r="F11" s="10">
        <v>29</v>
      </c>
      <c r="G11" s="3">
        <v>23</v>
      </c>
      <c r="H11" s="11">
        <v>32</v>
      </c>
      <c r="I11" s="10">
        <v>32</v>
      </c>
      <c r="J11" s="3">
        <v>32</v>
      </c>
      <c r="K11" s="11">
        <v>32</v>
      </c>
      <c r="M11" s="3" t="str">
        <f t="shared" si="3"/>
        <v>100/80</v>
      </c>
      <c r="N11" s="10">
        <f t="shared" si="4"/>
        <v>0</v>
      </c>
      <c r="O11" s="10">
        <f t="shared" si="5"/>
        <v>60</v>
      </c>
      <c r="P11" s="10">
        <f t="shared" si="6"/>
        <v>93</v>
      </c>
      <c r="Q11" s="10">
        <f t="shared" si="7"/>
        <v>87</v>
      </c>
      <c r="R11" s="10">
        <f t="shared" si="8"/>
        <v>69</v>
      </c>
      <c r="S11" s="10">
        <f t="shared" si="9"/>
        <v>96</v>
      </c>
      <c r="T11" s="10">
        <f t="shared" si="10"/>
        <v>96</v>
      </c>
      <c r="U11" s="10">
        <f t="shared" si="11"/>
        <v>96</v>
      </c>
      <c r="V11" s="17">
        <f t="shared" si="12"/>
        <v>96</v>
      </c>
      <c r="W11" s="3"/>
      <c r="X11" s="3" t="s">
        <v>3</v>
      </c>
      <c r="Y11" s="3">
        <v>5</v>
      </c>
      <c r="Z11" s="3">
        <v>20</v>
      </c>
      <c r="AA11" s="3">
        <v>0</v>
      </c>
      <c r="AF11" s="3"/>
      <c r="AG11" s="3"/>
    </row>
    <row r="12" spans="1:33" x14ac:dyDescent="0.35">
      <c r="A12" s="3">
        <f t="shared" si="13"/>
        <v>10</v>
      </c>
      <c r="B12" s="3" t="s">
        <v>4</v>
      </c>
      <c r="C12" s="10">
        <v>0</v>
      </c>
      <c r="D12" s="3">
        <v>15</v>
      </c>
      <c r="E12" s="11">
        <v>28</v>
      </c>
      <c r="F12" s="10">
        <v>23</v>
      </c>
      <c r="G12" s="3">
        <v>20</v>
      </c>
      <c r="H12" s="11">
        <v>25</v>
      </c>
      <c r="I12" s="10">
        <v>27</v>
      </c>
      <c r="J12" s="3">
        <v>22</v>
      </c>
      <c r="K12" s="11">
        <v>24</v>
      </c>
      <c r="M12" s="3" t="str">
        <f t="shared" si="3"/>
        <v>100/60</v>
      </c>
      <c r="N12" s="10">
        <f t="shared" si="4"/>
        <v>0</v>
      </c>
      <c r="O12" s="10">
        <f t="shared" si="5"/>
        <v>45</v>
      </c>
      <c r="P12" s="10">
        <f t="shared" si="6"/>
        <v>84</v>
      </c>
      <c r="Q12" s="10">
        <f t="shared" si="7"/>
        <v>69</v>
      </c>
      <c r="R12" s="10">
        <f t="shared" si="8"/>
        <v>60</v>
      </c>
      <c r="S12" s="10">
        <f t="shared" si="9"/>
        <v>75</v>
      </c>
      <c r="T12" s="10">
        <f t="shared" si="10"/>
        <v>81</v>
      </c>
      <c r="U12" s="10">
        <f t="shared" si="11"/>
        <v>66</v>
      </c>
      <c r="V12" s="17">
        <f t="shared" si="12"/>
        <v>72</v>
      </c>
      <c r="W12" s="3"/>
      <c r="X12" s="3" t="s">
        <v>4</v>
      </c>
      <c r="Y12" s="3">
        <v>5</v>
      </c>
      <c r="Z12" s="3">
        <v>20</v>
      </c>
      <c r="AA12" s="3">
        <v>0</v>
      </c>
      <c r="AF12" s="3"/>
      <c r="AG12" s="3"/>
    </row>
    <row r="13" spans="1:33" x14ac:dyDescent="0.35">
      <c r="A13" s="3">
        <f t="shared" si="13"/>
        <v>11</v>
      </c>
      <c r="B13" s="3" t="s">
        <v>3</v>
      </c>
      <c r="C13" s="10">
        <v>23</v>
      </c>
      <c r="D13" s="3">
        <v>36</v>
      </c>
      <c r="E13" s="11">
        <v>32</v>
      </c>
      <c r="F13" s="10">
        <v>28</v>
      </c>
      <c r="G13" s="3">
        <v>31</v>
      </c>
      <c r="H13" s="11">
        <v>30</v>
      </c>
      <c r="I13" s="10">
        <v>27</v>
      </c>
      <c r="J13" s="3">
        <v>18</v>
      </c>
      <c r="K13" s="11">
        <f>AVERAGE(I13:J13)</f>
        <v>22.5</v>
      </c>
      <c r="M13" s="3" t="str">
        <f t="shared" si="3"/>
        <v>100/80</v>
      </c>
      <c r="N13" s="10">
        <f t="shared" si="4"/>
        <v>69</v>
      </c>
      <c r="O13" s="10">
        <f t="shared" si="5"/>
        <v>108</v>
      </c>
      <c r="P13" s="10">
        <f t="shared" si="6"/>
        <v>96</v>
      </c>
      <c r="Q13" s="10">
        <f t="shared" si="7"/>
        <v>84</v>
      </c>
      <c r="R13" s="10">
        <f t="shared" si="8"/>
        <v>93</v>
      </c>
      <c r="S13" s="10">
        <f t="shared" si="9"/>
        <v>90</v>
      </c>
      <c r="T13" s="10">
        <f t="shared" si="10"/>
        <v>81</v>
      </c>
      <c r="U13" s="10">
        <f t="shared" si="11"/>
        <v>54</v>
      </c>
      <c r="V13" s="17">
        <f t="shared" si="12"/>
        <v>67.5</v>
      </c>
      <c r="W13" s="3"/>
      <c r="X13" s="3" t="s">
        <v>3</v>
      </c>
      <c r="Y13" s="3">
        <v>6</v>
      </c>
      <c r="Z13" s="3">
        <v>20</v>
      </c>
      <c r="AA13" s="3">
        <v>69</v>
      </c>
      <c r="AF13" s="3"/>
      <c r="AG13" s="3"/>
    </row>
    <row r="14" spans="1:33" x14ac:dyDescent="0.35">
      <c r="A14" s="3">
        <f t="shared" si="13"/>
        <v>12</v>
      </c>
      <c r="B14" s="3" t="s">
        <v>4</v>
      </c>
      <c r="C14" s="10">
        <v>16</v>
      </c>
      <c r="D14" s="3">
        <v>24</v>
      </c>
      <c r="E14" s="11">
        <v>25</v>
      </c>
      <c r="F14" s="10">
        <v>23</v>
      </c>
      <c r="G14" s="3">
        <v>22</v>
      </c>
      <c r="H14" s="11">
        <v>25</v>
      </c>
      <c r="I14" s="10">
        <v>22</v>
      </c>
      <c r="J14" s="3">
        <v>22</v>
      </c>
      <c r="K14" s="11">
        <f t="shared" ref="K14:K15" si="14">AVERAGE(I14:J14)</f>
        <v>22</v>
      </c>
      <c r="M14" s="3" t="str">
        <f t="shared" si="3"/>
        <v>100/60</v>
      </c>
      <c r="N14" s="10">
        <f t="shared" si="4"/>
        <v>48</v>
      </c>
      <c r="O14" s="10">
        <f t="shared" si="5"/>
        <v>72</v>
      </c>
      <c r="P14" s="10">
        <f t="shared" si="6"/>
        <v>75</v>
      </c>
      <c r="Q14" s="10">
        <f t="shared" si="7"/>
        <v>69</v>
      </c>
      <c r="R14" s="10">
        <f t="shared" si="8"/>
        <v>66</v>
      </c>
      <c r="S14" s="10">
        <f t="shared" si="9"/>
        <v>75</v>
      </c>
      <c r="T14" s="10">
        <f t="shared" si="10"/>
        <v>66</v>
      </c>
      <c r="U14" s="10">
        <f t="shared" si="11"/>
        <v>66</v>
      </c>
      <c r="V14" s="17">
        <f t="shared" si="12"/>
        <v>66</v>
      </c>
      <c r="W14" s="3"/>
      <c r="X14" s="3" t="s">
        <v>4</v>
      </c>
      <c r="Y14" s="3">
        <v>6</v>
      </c>
      <c r="Z14" s="3">
        <v>20</v>
      </c>
      <c r="AA14" s="3">
        <v>48</v>
      </c>
      <c r="AF14" s="3"/>
      <c r="AG14" s="3"/>
    </row>
    <row r="15" spans="1:33" x14ac:dyDescent="0.35">
      <c r="A15" s="3">
        <f t="shared" si="13"/>
        <v>13</v>
      </c>
      <c r="B15" s="3" t="s">
        <v>3</v>
      </c>
      <c r="C15" s="10">
        <v>19</v>
      </c>
      <c r="D15" s="3">
        <v>21</v>
      </c>
      <c r="E15" s="11">
        <v>17</v>
      </c>
      <c r="F15" s="10">
        <v>12</v>
      </c>
      <c r="G15" s="3">
        <v>19</v>
      </c>
      <c r="H15" s="11">
        <v>24</v>
      </c>
      <c r="I15" s="10">
        <v>26</v>
      </c>
      <c r="J15" s="3">
        <v>23</v>
      </c>
      <c r="K15" s="11">
        <f t="shared" si="14"/>
        <v>24.5</v>
      </c>
      <c r="M15" s="3" t="str">
        <f t="shared" si="3"/>
        <v>100/80</v>
      </c>
      <c r="N15" s="10">
        <f t="shared" si="4"/>
        <v>57</v>
      </c>
      <c r="O15" s="10">
        <f t="shared" si="5"/>
        <v>63</v>
      </c>
      <c r="P15" s="10">
        <f t="shared" si="6"/>
        <v>51</v>
      </c>
      <c r="Q15" s="10">
        <f t="shared" si="7"/>
        <v>36</v>
      </c>
      <c r="R15" s="10">
        <f t="shared" si="8"/>
        <v>57</v>
      </c>
      <c r="S15" s="10">
        <f t="shared" si="9"/>
        <v>72</v>
      </c>
      <c r="T15" s="10">
        <f t="shared" si="10"/>
        <v>78</v>
      </c>
      <c r="U15" s="10">
        <f t="shared" si="11"/>
        <v>69</v>
      </c>
      <c r="V15" s="17">
        <f t="shared" si="12"/>
        <v>73.5</v>
      </c>
      <c r="W15" s="3"/>
      <c r="X15" s="3" t="s">
        <v>3</v>
      </c>
      <c r="Y15" s="3">
        <v>7</v>
      </c>
      <c r="Z15" s="3">
        <v>20</v>
      </c>
      <c r="AA15" s="3">
        <v>57</v>
      </c>
      <c r="AF15" s="3"/>
      <c r="AG15" s="3"/>
    </row>
    <row r="16" spans="1:33" x14ac:dyDescent="0.35">
      <c r="A16" s="3">
        <f t="shared" si="13"/>
        <v>14</v>
      </c>
      <c r="B16" s="3" t="s">
        <v>3</v>
      </c>
      <c r="C16" s="10">
        <v>0</v>
      </c>
      <c r="D16" s="3">
        <v>11</v>
      </c>
      <c r="E16" s="11">
        <v>17</v>
      </c>
      <c r="F16" s="10">
        <v>21</v>
      </c>
      <c r="G16" s="3">
        <v>20</v>
      </c>
      <c r="H16" s="11">
        <v>22</v>
      </c>
      <c r="I16" s="10">
        <v>14</v>
      </c>
      <c r="J16" s="3">
        <v>16</v>
      </c>
      <c r="K16" s="11">
        <v>21</v>
      </c>
      <c r="M16" s="3" t="str">
        <f t="shared" si="3"/>
        <v>100/80</v>
      </c>
      <c r="N16" s="10">
        <f t="shared" si="4"/>
        <v>0</v>
      </c>
      <c r="O16" s="10">
        <f t="shared" si="5"/>
        <v>33</v>
      </c>
      <c r="P16" s="10">
        <f t="shared" si="6"/>
        <v>51</v>
      </c>
      <c r="Q16" s="10">
        <f t="shared" si="7"/>
        <v>63</v>
      </c>
      <c r="R16" s="10">
        <f t="shared" si="8"/>
        <v>60</v>
      </c>
      <c r="S16" s="10">
        <f t="shared" si="9"/>
        <v>66</v>
      </c>
      <c r="T16" s="10">
        <f t="shared" si="10"/>
        <v>42</v>
      </c>
      <c r="U16" s="10">
        <f t="shared" si="11"/>
        <v>48</v>
      </c>
      <c r="V16" s="17">
        <f t="shared" si="12"/>
        <v>63</v>
      </c>
      <c r="W16" s="3"/>
      <c r="X16" s="3" t="s">
        <v>3</v>
      </c>
      <c r="Y16" s="3">
        <v>8</v>
      </c>
      <c r="Z16" s="3">
        <v>20</v>
      </c>
      <c r="AA16" s="3">
        <v>0</v>
      </c>
      <c r="AF16" s="3"/>
      <c r="AG16" s="3"/>
    </row>
    <row r="17" spans="1:33" x14ac:dyDescent="0.35">
      <c r="A17" s="3">
        <f t="shared" si="13"/>
        <v>15</v>
      </c>
      <c r="B17" s="3" t="s">
        <v>3</v>
      </c>
      <c r="C17" s="10">
        <v>8</v>
      </c>
      <c r="D17" s="3">
        <v>22</v>
      </c>
      <c r="E17" s="11">
        <v>26</v>
      </c>
      <c r="F17" s="10">
        <v>25</v>
      </c>
      <c r="G17" s="3">
        <v>29</v>
      </c>
      <c r="H17" s="11">
        <f>AVERAGE(F17:G17)</f>
        <v>27</v>
      </c>
      <c r="I17" s="10">
        <f>AVERAGE(G17:H17)</f>
        <v>28</v>
      </c>
      <c r="J17" s="10">
        <f t="shared" ref="J17:K21" si="15">AVERAGE(H17:I17)</f>
        <v>27.5</v>
      </c>
      <c r="K17" s="10">
        <f t="shared" si="15"/>
        <v>27.75</v>
      </c>
      <c r="M17" s="3" t="str">
        <f t="shared" si="3"/>
        <v>100/80</v>
      </c>
      <c r="N17" s="10">
        <f t="shared" si="4"/>
        <v>24</v>
      </c>
      <c r="O17" s="10">
        <f t="shared" si="5"/>
        <v>66</v>
      </c>
      <c r="P17" s="10">
        <f t="shared" si="6"/>
        <v>78</v>
      </c>
      <c r="Q17" s="10">
        <f t="shared" si="7"/>
        <v>75</v>
      </c>
      <c r="R17" s="10">
        <f t="shared" si="8"/>
        <v>87</v>
      </c>
      <c r="S17" s="10">
        <f t="shared" si="9"/>
        <v>81</v>
      </c>
      <c r="T17" s="10">
        <f t="shared" si="10"/>
        <v>84</v>
      </c>
      <c r="U17" s="10">
        <f t="shared" si="11"/>
        <v>82.5</v>
      </c>
      <c r="V17" s="17">
        <f t="shared" si="12"/>
        <v>83.25</v>
      </c>
      <c r="W17" s="3"/>
      <c r="X17" s="3" t="s">
        <v>3</v>
      </c>
      <c r="Y17" s="3">
        <v>9</v>
      </c>
      <c r="Z17" s="3">
        <v>20</v>
      </c>
      <c r="AA17" s="3">
        <v>24</v>
      </c>
      <c r="AF17" s="3"/>
      <c r="AG17" s="3"/>
    </row>
    <row r="18" spans="1:33" x14ac:dyDescent="0.35">
      <c r="A18" s="3">
        <f t="shared" si="13"/>
        <v>16</v>
      </c>
      <c r="B18" s="3" t="s">
        <v>3</v>
      </c>
      <c r="C18" s="10">
        <v>18</v>
      </c>
      <c r="D18" s="3">
        <v>25</v>
      </c>
      <c r="E18" s="11">
        <v>26</v>
      </c>
      <c r="F18" s="10">
        <v>26</v>
      </c>
      <c r="G18" s="3">
        <v>33</v>
      </c>
      <c r="H18" s="11">
        <v>26</v>
      </c>
      <c r="I18" s="10">
        <f t="shared" ref="I18:I28" si="16">AVERAGE(G18:H18)</f>
        <v>29.5</v>
      </c>
      <c r="J18" s="10">
        <f t="shared" si="15"/>
        <v>27.75</v>
      </c>
      <c r="K18" s="10">
        <f t="shared" si="15"/>
        <v>28.625</v>
      </c>
      <c r="M18" s="3" t="str">
        <f t="shared" si="3"/>
        <v>100/80</v>
      </c>
      <c r="N18" s="10">
        <f t="shared" si="4"/>
        <v>54</v>
      </c>
      <c r="O18" s="10">
        <f t="shared" si="5"/>
        <v>75</v>
      </c>
      <c r="P18" s="10">
        <f t="shared" si="6"/>
        <v>78</v>
      </c>
      <c r="Q18" s="10">
        <f t="shared" si="7"/>
        <v>78</v>
      </c>
      <c r="R18" s="10">
        <f t="shared" si="8"/>
        <v>99</v>
      </c>
      <c r="S18" s="10">
        <f t="shared" si="9"/>
        <v>78</v>
      </c>
      <c r="T18" s="10">
        <f t="shared" si="10"/>
        <v>88.5</v>
      </c>
      <c r="U18" s="10">
        <f t="shared" si="11"/>
        <v>83.25</v>
      </c>
      <c r="V18" s="17">
        <f t="shared" si="12"/>
        <v>85.875</v>
      </c>
      <c r="W18" s="3"/>
      <c r="X18" s="3" t="s">
        <v>3</v>
      </c>
      <c r="Y18" s="3">
        <v>10</v>
      </c>
      <c r="Z18" s="3">
        <v>20</v>
      </c>
      <c r="AA18" s="3">
        <v>54</v>
      </c>
      <c r="AF18" s="3"/>
      <c r="AG18" s="3"/>
    </row>
    <row r="19" spans="1:33" x14ac:dyDescent="0.35">
      <c r="A19" s="3">
        <f t="shared" si="13"/>
        <v>17</v>
      </c>
      <c r="B19" s="3" t="s">
        <v>3</v>
      </c>
      <c r="C19" s="10">
        <v>10</v>
      </c>
      <c r="D19" s="3">
        <v>22</v>
      </c>
      <c r="E19" s="11">
        <v>25</v>
      </c>
      <c r="F19" s="10">
        <v>25</v>
      </c>
      <c r="G19" s="3">
        <v>25</v>
      </c>
      <c r="H19" s="11">
        <v>25</v>
      </c>
      <c r="I19" s="10">
        <f t="shared" si="16"/>
        <v>25</v>
      </c>
      <c r="J19" s="10">
        <f t="shared" si="15"/>
        <v>25</v>
      </c>
      <c r="K19" s="10">
        <f t="shared" si="15"/>
        <v>25</v>
      </c>
      <c r="M19" s="3" t="str">
        <f t="shared" si="3"/>
        <v>100/80</v>
      </c>
      <c r="N19" s="10">
        <f t="shared" si="4"/>
        <v>30</v>
      </c>
      <c r="O19" s="10">
        <f t="shared" si="5"/>
        <v>66</v>
      </c>
      <c r="P19" s="10">
        <f t="shared" si="6"/>
        <v>75</v>
      </c>
      <c r="Q19" s="10">
        <f t="shared" si="7"/>
        <v>75</v>
      </c>
      <c r="R19" s="10">
        <f t="shared" si="8"/>
        <v>75</v>
      </c>
      <c r="S19" s="10">
        <f t="shared" si="9"/>
        <v>75</v>
      </c>
      <c r="T19" s="10">
        <f t="shared" si="10"/>
        <v>75</v>
      </c>
      <c r="U19" s="10">
        <f t="shared" si="11"/>
        <v>75</v>
      </c>
      <c r="V19" s="17">
        <f t="shared" si="12"/>
        <v>75</v>
      </c>
      <c r="W19" s="3"/>
      <c r="X19" s="3" t="s">
        <v>3</v>
      </c>
      <c r="Y19" s="3">
        <v>11</v>
      </c>
      <c r="Z19" s="3">
        <v>20</v>
      </c>
      <c r="AA19" s="3">
        <v>30</v>
      </c>
      <c r="AF19" s="3"/>
      <c r="AG19" s="3"/>
    </row>
    <row r="20" spans="1:33" x14ac:dyDescent="0.35">
      <c r="A20" s="3">
        <f t="shared" si="13"/>
        <v>18</v>
      </c>
      <c r="B20" s="3" t="s">
        <v>3</v>
      </c>
      <c r="C20" s="10">
        <v>6</v>
      </c>
      <c r="D20" s="3">
        <v>22</v>
      </c>
      <c r="E20" s="11">
        <v>27</v>
      </c>
      <c r="F20" s="10">
        <v>26</v>
      </c>
      <c r="G20" s="3">
        <v>26</v>
      </c>
      <c r="H20" s="11">
        <v>26</v>
      </c>
      <c r="I20" s="10">
        <f t="shared" si="16"/>
        <v>26</v>
      </c>
      <c r="J20" s="10">
        <f t="shared" si="15"/>
        <v>26</v>
      </c>
      <c r="K20" s="10">
        <f t="shared" si="15"/>
        <v>26</v>
      </c>
      <c r="M20" s="3" t="str">
        <f t="shared" si="3"/>
        <v>100/80</v>
      </c>
      <c r="N20" s="10">
        <f t="shared" si="4"/>
        <v>18</v>
      </c>
      <c r="O20" s="10">
        <f t="shared" si="5"/>
        <v>66</v>
      </c>
      <c r="P20" s="10">
        <f t="shared" si="6"/>
        <v>81</v>
      </c>
      <c r="Q20" s="10">
        <f t="shared" si="7"/>
        <v>78</v>
      </c>
      <c r="R20" s="10">
        <f t="shared" si="8"/>
        <v>78</v>
      </c>
      <c r="S20" s="10">
        <f t="shared" si="9"/>
        <v>78</v>
      </c>
      <c r="T20" s="10">
        <f t="shared" si="10"/>
        <v>78</v>
      </c>
      <c r="U20" s="10">
        <f t="shared" si="11"/>
        <v>78</v>
      </c>
      <c r="V20" s="17">
        <f t="shared" si="12"/>
        <v>78</v>
      </c>
      <c r="W20" s="3"/>
      <c r="X20" s="3" t="s">
        <v>3</v>
      </c>
      <c r="Y20" s="3">
        <v>12</v>
      </c>
      <c r="Z20" s="3">
        <v>20</v>
      </c>
      <c r="AA20" s="3">
        <v>18</v>
      </c>
      <c r="AF20" s="3"/>
      <c r="AG20" s="3"/>
    </row>
    <row r="21" spans="1:33" x14ac:dyDescent="0.35">
      <c r="A21" s="3">
        <f t="shared" si="13"/>
        <v>19</v>
      </c>
      <c r="B21" s="3" t="s">
        <v>4</v>
      </c>
      <c r="C21" s="10">
        <v>3</v>
      </c>
      <c r="D21" s="3">
        <v>23</v>
      </c>
      <c r="E21" s="11">
        <v>27</v>
      </c>
      <c r="F21" s="10">
        <v>34</v>
      </c>
      <c r="G21" s="3">
        <v>30</v>
      </c>
      <c r="H21" s="11">
        <v>33</v>
      </c>
      <c r="I21" s="10">
        <f t="shared" si="16"/>
        <v>31.5</v>
      </c>
      <c r="J21" s="10">
        <f t="shared" si="15"/>
        <v>32.25</v>
      </c>
      <c r="K21" s="10">
        <f t="shared" si="15"/>
        <v>31.875</v>
      </c>
      <c r="M21" s="3" t="str">
        <f t="shared" si="3"/>
        <v>100/60</v>
      </c>
      <c r="N21" s="10">
        <f t="shared" si="4"/>
        <v>9</v>
      </c>
      <c r="O21" s="10">
        <f t="shared" si="5"/>
        <v>69</v>
      </c>
      <c r="P21" s="10">
        <f t="shared" si="6"/>
        <v>81</v>
      </c>
      <c r="Q21" s="10">
        <f t="shared" si="7"/>
        <v>102</v>
      </c>
      <c r="R21" s="10">
        <f t="shared" si="8"/>
        <v>90</v>
      </c>
      <c r="S21" s="10">
        <f t="shared" si="9"/>
        <v>99</v>
      </c>
      <c r="T21" s="10">
        <f t="shared" si="10"/>
        <v>94.5</v>
      </c>
      <c r="U21" s="10">
        <f t="shared" si="11"/>
        <v>96.75</v>
      </c>
      <c r="V21" s="17">
        <f t="shared" si="12"/>
        <v>95.625</v>
      </c>
      <c r="W21" s="3"/>
      <c r="X21" s="3" t="s">
        <v>4</v>
      </c>
      <c r="Y21" s="3">
        <v>7</v>
      </c>
      <c r="Z21" s="3">
        <v>20</v>
      </c>
      <c r="AA21" s="3">
        <v>9</v>
      </c>
      <c r="AF21" s="3"/>
      <c r="AG21" s="3"/>
    </row>
    <row r="22" spans="1:33" x14ac:dyDescent="0.35">
      <c r="A22" s="3">
        <f t="shared" si="13"/>
        <v>20</v>
      </c>
      <c r="B22" s="3" t="s">
        <v>4</v>
      </c>
      <c r="C22" s="10">
        <v>8</v>
      </c>
      <c r="D22" s="3">
        <v>29</v>
      </c>
      <c r="E22" s="11">
        <v>33</v>
      </c>
      <c r="F22" s="10">
        <v>23</v>
      </c>
      <c r="G22" s="3">
        <v>33</v>
      </c>
      <c r="H22" s="11">
        <v>34</v>
      </c>
      <c r="I22" s="10">
        <v>31</v>
      </c>
      <c r="J22" s="3">
        <v>31</v>
      </c>
      <c r="K22" s="11">
        <v>31</v>
      </c>
      <c r="M22" s="3" t="str">
        <f t="shared" si="3"/>
        <v>100/60</v>
      </c>
      <c r="N22" s="10">
        <f t="shared" si="4"/>
        <v>24</v>
      </c>
      <c r="O22" s="10">
        <f t="shared" si="5"/>
        <v>87</v>
      </c>
      <c r="P22" s="10">
        <f t="shared" si="6"/>
        <v>99</v>
      </c>
      <c r="Q22" s="10">
        <f t="shared" si="7"/>
        <v>69</v>
      </c>
      <c r="R22" s="10">
        <f t="shared" si="8"/>
        <v>99</v>
      </c>
      <c r="S22" s="10">
        <f t="shared" si="9"/>
        <v>102</v>
      </c>
      <c r="T22" s="10">
        <f t="shared" si="10"/>
        <v>93</v>
      </c>
      <c r="U22" s="10">
        <f t="shared" si="11"/>
        <v>93</v>
      </c>
      <c r="V22" s="17">
        <f t="shared" si="12"/>
        <v>93</v>
      </c>
      <c r="W22" s="3"/>
      <c r="X22" s="3" t="s">
        <v>4</v>
      </c>
      <c r="Y22" s="3">
        <v>8</v>
      </c>
      <c r="Z22" s="3">
        <v>20</v>
      </c>
      <c r="AA22" s="3">
        <v>24</v>
      </c>
      <c r="AF22" s="3"/>
      <c r="AG22" s="3"/>
    </row>
    <row r="23" spans="1:33" x14ac:dyDescent="0.35">
      <c r="A23" s="3">
        <f t="shared" si="13"/>
        <v>21</v>
      </c>
      <c r="B23" s="3" t="s">
        <v>4</v>
      </c>
      <c r="C23" s="10">
        <v>4</v>
      </c>
      <c r="D23" s="3">
        <v>25</v>
      </c>
      <c r="E23" s="11">
        <v>15</v>
      </c>
      <c r="F23" s="10">
        <v>26</v>
      </c>
      <c r="G23" s="3">
        <v>31</v>
      </c>
      <c r="H23" s="11">
        <v>19</v>
      </c>
      <c r="I23" s="10">
        <f t="shared" si="16"/>
        <v>25</v>
      </c>
      <c r="J23" s="10">
        <f t="shared" ref="J23" si="17">AVERAGE(H23:I23)</f>
        <v>22</v>
      </c>
      <c r="K23" s="10">
        <f t="shared" ref="K23" si="18">AVERAGE(I23:J23)</f>
        <v>23.5</v>
      </c>
      <c r="M23" s="3" t="str">
        <f t="shared" si="3"/>
        <v>100/60</v>
      </c>
      <c r="N23" s="10">
        <f t="shared" si="4"/>
        <v>12</v>
      </c>
      <c r="O23" s="10">
        <f t="shared" si="5"/>
        <v>75</v>
      </c>
      <c r="P23" s="10">
        <f t="shared" si="6"/>
        <v>45</v>
      </c>
      <c r="Q23" s="10">
        <f t="shared" si="7"/>
        <v>78</v>
      </c>
      <c r="R23" s="10">
        <f t="shared" si="8"/>
        <v>93</v>
      </c>
      <c r="S23" s="10">
        <f t="shared" si="9"/>
        <v>57</v>
      </c>
      <c r="T23" s="10">
        <f t="shared" si="10"/>
        <v>75</v>
      </c>
      <c r="U23" s="10">
        <f t="shared" si="11"/>
        <v>66</v>
      </c>
      <c r="V23" s="17">
        <f t="shared" si="12"/>
        <v>70.5</v>
      </c>
      <c r="W23" s="3"/>
      <c r="X23" s="3" t="s">
        <v>4</v>
      </c>
      <c r="Y23" s="3">
        <v>9</v>
      </c>
      <c r="Z23" s="3">
        <v>20</v>
      </c>
      <c r="AA23" s="3">
        <v>12</v>
      </c>
      <c r="AF23" s="3"/>
      <c r="AG23" s="3"/>
    </row>
    <row r="24" spans="1:33" x14ac:dyDescent="0.35">
      <c r="A24" s="3">
        <f t="shared" si="13"/>
        <v>22</v>
      </c>
      <c r="B24" s="3" t="s">
        <v>4</v>
      </c>
      <c r="C24" s="10">
        <v>0</v>
      </c>
      <c r="D24" s="3">
        <v>15</v>
      </c>
      <c r="E24" s="11">
        <v>27</v>
      </c>
      <c r="F24" s="10">
        <v>23</v>
      </c>
      <c r="G24" s="3">
        <v>24</v>
      </c>
      <c r="H24" s="11">
        <v>24</v>
      </c>
      <c r="I24" s="10">
        <v>21</v>
      </c>
      <c r="J24" s="3">
        <v>32</v>
      </c>
      <c r="K24" s="11">
        <v>27</v>
      </c>
      <c r="M24" s="3" t="str">
        <f t="shared" si="3"/>
        <v>100/60</v>
      </c>
      <c r="N24" s="10">
        <f t="shared" si="4"/>
        <v>0</v>
      </c>
      <c r="O24" s="10">
        <f t="shared" si="5"/>
        <v>45</v>
      </c>
      <c r="P24" s="10">
        <f t="shared" si="6"/>
        <v>81</v>
      </c>
      <c r="Q24" s="10">
        <f t="shared" si="7"/>
        <v>69</v>
      </c>
      <c r="R24" s="10">
        <f t="shared" si="8"/>
        <v>72</v>
      </c>
      <c r="S24" s="10">
        <f t="shared" si="9"/>
        <v>72</v>
      </c>
      <c r="T24" s="10">
        <f t="shared" si="10"/>
        <v>63</v>
      </c>
      <c r="U24" s="10">
        <f t="shared" si="11"/>
        <v>96</v>
      </c>
      <c r="V24" s="17">
        <f t="shared" si="12"/>
        <v>81</v>
      </c>
      <c r="W24" s="3"/>
      <c r="X24" s="3" t="s">
        <v>4</v>
      </c>
      <c r="Y24" s="3">
        <v>10</v>
      </c>
      <c r="Z24" s="3">
        <v>20</v>
      </c>
      <c r="AA24" s="3">
        <v>0</v>
      </c>
      <c r="AF24" s="3"/>
      <c r="AG24" s="3"/>
    </row>
    <row r="25" spans="1:33" x14ac:dyDescent="0.35">
      <c r="A25" s="3">
        <f t="shared" si="13"/>
        <v>23</v>
      </c>
      <c r="B25" s="3" t="s">
        <v>4</v>
      </c>
      <c r="C25" s="10">
        <v>0</v>
      </c>
      <c r="D25" s="3">
        <v>0</v>
      </c>
      <c r="E25" s="11">
        <v>14</v>
      </c>
      <c r="F25" s="10">
        <v>25</v>
      </c>
      <c r="G25" s="3">
        <v>31</v>
      </c>
      <c r="H25" s="11">
        <v>28</v>
      </c>
      <c r="I25" s="10">
        <f t="shared" si="16"/>
        <v>29.5</v>
      </c>
      <c r="J25" s="10">
        <f t="shared" ref="J25:J26" si="19">AVERAGE(H25:I25)</f>
        <v>28.75</v>
      </c>
      <c r="K25" s="10">
        <f t="shared" ref="K25:K26" si="20">AVERAGE(I25:J25)</f>
        <v>29.125</v>
      </c>
      <c r="M25" s="3" t="str">
        <f t="shared" si="3"/>
        <v>100/60</v>
      </c>
      <c r="N25" s="10">
        <f t="shared" si="4"/>
        <v>0</v>
      </c>
      <c r="O25" s="10">
        <f t="shared" si="5"/>
        <v>0</v>
      </c>
      <c r="P25" s="10">
        <f t="shared" si="6"/>
        <v>42</v>
      </c>
      <c r="Q25" s="10">
        <f t="shared" si="7"/>
        <v>75</v>
      </c>
      <c r="R25" s="10">
        <f t="shared" si="8"/>
        <v>93</v>
      </c>
      <c r="S25" s="10">
        <f t="shared" si="9"/>
        <v>84</v>
      </c>
      <c r="T25" s="10">
        <f t="shared" si="10"/>
        <v>88.5</v>
      </c>
      <c r="U25" s="10">
        <f t="shared" si="11"/>
        <v>86.25</v>
      </c>
      <c r="V25" s="17">
        <f t="shared" si="12"/>
        <v>87.375</v>
      </c>
      <c r="W25" s="3"/>
      <c r="X25" s="3" t="s">
        <v>4</v>
      </c>
      <c r="Y25" s="3">
        <v>11</v>
      </c>
      <c r="Z25" s="3">
        <v>20</v>
      </c>
      <c r="AA25" s="3">
        <v>0</v>
      </c>
      <c r="AF25" s="3"/>
      <c r="AG25" s="3"/>
    </row>
    <row r="26" spans="1:33" x14ac:dyDescent="0.35">
      <c r="A26" s="3">
        <f t="shared" si="13"/>
        <v>24</v>
      </c>
      <c r="B26" s="3" t="s">
        <v>4</v>
      </c>
      <c r="C26" s="10">
        <v>3</v>
      </c>
      <c r="D26" s="3">
        <v>20</v>
      </c>
      <c r="E26" s="11">
        <v>20</v>
      </c>
      <c r="F26" s="10">
        <v>23</v>
      </c>
      <c r="G26" s="3">
        <v>23</v>
      </c>
      <c r="H26" s="11">
        <v>23</v>
      </c>
      <c r="I26" s="10">
        <f t="shared" si="16"/>
        <v>23</v>
      </c>
      <c r="J26" s="10">
        <f t="shared" si="19"/>
        <v>23</v>
      </c>
      <c r="K26" s="10">
        <f t="shared" si="20"/>
        <v>23</v>
      </c>
      <c r="M26" s="3" t="str">
        <f t="shared" si="3"/>
        <v>100/60</v>
      </c>
      <c r="N26" s="10">
        <f t="shared" si="4"/>
        <v>9</v>
      </c>
      <c r="O26" s="10">
        <f t="shared" si="5"/>
        <v>60</v>
      </c>
      <c r="P26" s="10">
        <f t="shared" si="6"/>
        <v>60</v>
      </c>
      <c r="Q26" s="10">
        <f t="shared" si="7"/>
        <v>69</v>
      </c>
      <c r="R26" s="10">
        <f t="shared" si="8"/>
        <v>69</v>
      </c>
      <c r="S26" s="10">
        <f t="shared" si="9"/>
        <v>69</v>
      </c>
      <c r="T26" s="10">
        <f t="shared" si="10"/>
        <v>69</v>
      </c>
      <c r="U26" s="10">
        <f t="shared" si="11"/>
        <v>69</v>
      </c>
      <c r="V26" s="17">
        <f t="shared" si="12"/>
        <v>69</v>
      </c>
      <c r="W26" s="3"/>
      <c r="X26" s="3" t="s">
        <v>4</v>
      </c>
      <c r="Y26" s="3">
        <v>12</v>
      </c>
      <c r="Z26" s="3">
        <v>20</v>
      </c>
      <c r="AA26" s="3">
        <v>9</v>
      </c>
      <c r="AF26" s="3"/>
      <c r="AG26" s="3"/>
    </row>
    <row r="27" spans="1:33" x14ac:dyDescent="0.35">
      <c r="A27" s="3">
        <f t="shared" si="13"/>
        <v>25</v>
      </c>
      <c r="B27" s="3" t="s">
        <v>5</v>
      </c>
      <c r="C27" s="10">
        <v>0</v>
      </c>
      <c r="D27" s="3">
        <v>5</v>
      </c>
      <c r="E27" s="11">
        <v>23</v>
      </c>
      <c r="F27" s="10">
        <v>22</v>
      </c>
      <c r="G27" s="3">
        <v>26</v>
      </c>
      <c r="H27" s="11">
        <v>27</v>
      </c>
      <c r="I27" s="10">
        <v>22</v>
      </c>
      <c r="J27" s="3">
        <v>22</v>
      </c>
      <c r="K27" s="11">
        <v>22</v>
      </c>
      <c r="M27" s="3" t="str">
        <f t="shared" si="3"/>
        <v>100/0</v>
      </c>
      <c r="N27" s="10">
        <f t="shared" si="4"/>
        <v>0</v>
      </c>
      <c r="O27" s="10">
        <f t="shared" si="5"/>
        <v>15</v>
      </c>
      <c r="P27" s="10">
        <f t="shared" si="6"/>
        <v>69</v>
      </c>
      <c r="Q27" s="10">
        <f t="shared" si="7"/>
        <v>66</v>
      </c>
      <c r="R27" s="10">
        <f t="shared" si="8"/>
        <v>78</v>
      </c>
      <c r="S27" s="10">
        <f t="shared" si="9"/>
        <v>81</v>
      </c>
      <c r="T27" s="10">
        <f t="shared" si="10"/>
        <v>66</v>
      </c>
      <c r="U27" s="10">
        <f t="shared" si="11"/>
        <v>66</v>
      </c>
      <c r="V27" s="17">
        <f t="shared" si="12"/>
        <v>66</v>
      </c>
      <c r="W27" s="3"/>
      <c r="X27" s="3" t="s">
        <v>5</v>
      </c>
      <c r="Y27" s="3">
        <v>1</v>
      </c>
      <c r="Z27" s="3">
        <v>20</v>
      </c>
      <c r="AA27" s="3">
        <v>0</v>
      </c>
      <c r="AF27" s="3"/>
      <c r="AG27" s="3"/>
    </row>
    <row r="28" spans="1:33" x14ac:dyDescent="0.35">
      <c r="A28" s="3">
        <f t="shared" si="13"/>
        <v>26</v>
      </c>
      <c r="B28" s="3" t="s">
        <v>5</v>
      </c>
      <c r="C28" s="10">
        <v>5</v>
      </c>
      <c r="D28" s="3">
        <v>8</v>
      </c>
      <c r="E28" s="11">
        <v>19</v>
      </c>
      <c r="F28" s="10">
        <v>24</v>
      </c>
      <c r="G28" s="3">
        <v>24</v>
      </c>
      <c r="H28" s="11">
        <v>24</v>
      </c>
      <c r="I28" s="10">
        <f t="shared" si="16"/>
        <v>24</v>
      </c>
      <c r="J28" s="10">
        <f t="shared" ref="J28" si="21">AVERAGE(H28:I28)</f>
        <v>24</v>
      </c>
      <c r="K28" s="10">
        <f t="shared" ref="K28" si="22">AVERAGE(I28:J28)</f>
        <v>24</v>
      </c>
      <c r="M28" s="3" t="str">
        <f t="shared" si="3"/>
        <v>100/0</v>
      </c>
      <c r="N28" s="10">
        <f t="shared" si="4"/>
        <v>15</v>
      </c>
      <c r="O28" s="10">
        <f t="shared" si="5"/>
        <v>24</v>
      </c>
      <c r="P28" s="10">
        <f t="shared" si="6"/>
        <v>57</v>
      </c>
      <c r="Q28" s="10">
        <f t="shared" si="7"/>
        <v>72</v>
      </c>
      <c r="R28" s="10">
        <f t="shared" si="8"/>
        <v>72</v>
      </c>
      <c r="S28" s="10">
        <f t="shared" si="9"/>
        <v>72</v>
      </c>
      <c r="T28" s="10">
        <f t="shared" si="10"/>
        <v>72</v>
      </c>
      <c r="U28" s="10">
        <f t="shared" si="11"/>
        <v>72</v>
      </c>
      <c r="V28" s="17">
        <f t="shared" si="12"/>
        <v>72</v>
      </c>
      <c r="W28" s="3"/>
      <c r="X28" s="3" t="s">
        <v>5</v>
      </c>
      <c r="Y28" s="3">
        <v>2</v>
      </c>
      <c r="Z28" s="3">
        <v>20</v>
      </c>
      <c r="AA28" s="3">
        <v>15</v>
      </c>
      <c r="AF28" s="3"/>
      <c r="AG28" s="3"/>
    </row>
    <row r="29" spans="1:33" x14ac:dyDescent="0.35">
      <c r="A29" s="3">
        <f t="shared" si="13"/>
        <v>27</v>
      </c>
      <c r="B29" s="3" t="s">
        <v>5</v>
      </c>
      <c r="C29" s="10">
        <v>0</v>
      </c>
      <c r="D29" s="3">
        <v>5</v>
      </c>
      <c r="E29" s="11">
        <v>11</v>
      </c>
      <c r="F29" s="10">
        <v>19</v>
      </c>
      <c r="G29" s="3">
        <v>18</v>
      </c>
      <c r="H29" s="11">
        <v>23</v>
      </c>
      <c r="I29" s="10">
        <v>21</v>
      </c>
      <c r="J29" s="3">
        <v>21</v>
      </c>
      <c r="K29" s="11">
        <v>21</v>
      </c>
      <c r="M29" s="3" t="str">
        <f t="shared" si="3"/>
        <v>100/0</v>
      </c>
      <c r="N29" s="10">
        <f t="shared" si="4"/>
        <v>0</v>
      </c>
      <c r="O29" s="10">
        <f t="shared" si="5"/>
        <v>15</v>
      </c>
      <c r="P29" s="10">
        <f t="shared" si="6"/>
        <v>33</v>
      </c>
      <c r="Q29" s="10">
        <f t="shared" si="7"/>
        <v>57</v>
      </c>
      <c r="R29" s="10">
        <f t="shared" si="8"/>
        <v>54</v>
      </c>
      <c r="S29" s="10">
        <f t="shared" si="9"/>
        <v>69</v>
      </c>
      <c r="T29" s="10">
        <f t="shared" si="10"/>
        <v>63</v>
      </c>
      <c r="U29" s="10">
        <f t="shared" si="11"/>
        <v>63</v>
      </c>
      <c r="V29" s="17">
        <f t="shared" si="12"/>
        <v>63</v>
      </c>
      <c r="W29" s="3"/>
      <c r="X29" s="3" t="s">
        <v>5</v>
      </c>
      <c r="Y29" s="3">
        <v>3</v>
      </c>
      <c r="Z29" s="3">
        <v>20</v>
      </c>
      <c r="AA29" s="3">
        <v>0</v>
      </c>
      <c r="AF29" s="3"/>
      <c r="AG29" s="3"/>
    </row>
    <row r="30" spans="1:33" x14ac:dyDescent="0.35">
      <c r="A30" s="3">
        <f t="shared" si="13"/>
        <v>28</v>
      </c>
      <c r="B30" s="3" t="s">
        <v>5</v>
      </c>
      <c r="C30" s="10">
        <v>0</v>
      </c>
      <c r="D30" s="3">
        <v>0</v>
      </c>
      <c r="E30" s="11">
        <v>0</v>
      </c>
      <c r="F30" s="10">
        <v>6</v>
      </c>
      <c r="G30" s="3">
        <v>15</v>
      </c>
      <c r="H30" s="11">
        <v>14</v>
      </c>
      <c r="I30" s="10">
        <v>17</v>
      </c>
      <c r="J30" s="3">
        <v>17</v>
      </c>
      <c r="K30" s="11">
        <v>17</v>
      </c>
      <c r="M30" s="3" t="str">
        <f t="shared" si="3"/>
        <v>100/0</v>
      </c>
      <c r="N30" s="10">
        <f t="shared" si="4"/>
        <v>0</v>
      </c>
      <c r="O30" s="10">
        <f t="shared" si="5"/>
        <v>0</v>
      </c>
      <c r="P30" s="10">
        <f t="shared" si="6"/>
        <v>0</v>
      </c>
      <c r="Q30" s="10">
        <f t="shared" si="7"/>
        <v>18</v>
      </c>
      <c r="R30" s="10">
        <f t="shared" si="8"/>
        <v>45</v>
      </c>
      <c r="S30" s="10">
        <f t="shared" si="9"/>
        <v>42</v>
      </c>
      <c r="T30" s="10">
        <f t="shared" si="10"/>
        <v>51</v>
      </c>
      <c r="U30" s="10">
        <f t="shared" si="11"/>
        <v>51</v>
      </c>
      <c r="V30" s="17">
        <f t="shared" si="12"/>
        <v>51</v>
      </c>
      <c r="W30" s="3"/>
      <c r="X30" s="3" t="s">
        <v>5</v>
      </c>
      <c r="Y30" s="3">
        <v>4</v>
      </c>
      <c r="Z30" s="3">
        <v>20</v>
      </c>
      <c r="AA30" s="3">
        <v>0</v>
      </c>
      <c r="AF30" s="3"/>
      <c r="AG30" s="3"/>
    </row>
    <row r="31" spans="1:33" x14ac:dyDescent="0.35">
      <c r="A31" s="3">
        <f t="shared" si="13"/>
        <v>29</v>
      </c>
      <c r="B31" s="3" t="s">
        <v>5</v>
      </c>
      <c r="C31" s="10">
        <v>0</v>
      </c>
      <c r="D31" s="3">
        <v>0</v>
      </c>
      <c r="E31" s="11">
        <v>21</v>
      </c>
      <c r="F31" s="10">
        <v>15</v>
      </c>
      <c r="G31" s="3">
        <v>25</v>
      </c>
      <c r="H31" s="11">
        <f>AVERAGE(F31:G31)</f>
        <v>20</v>
      </c>
      <c r="I31" s="10">
        <f t="shared" ref="I31:I35" si="23">AVERAGE(G31:H31)</f>
        <v>22.5</v>
      </c>
      <c r="J31" s="10">
        <f t="shared" ref="J31:J35" si="24">AVERAGE(H31:I31)</f>
        <v>21.25</v>
      </c>
      <c r="K31" s="10">
        <f t="shared" ref="K31:K35" si="25">AVERAGE(I31:J31)</f>
        <v>21.875</v>
      </c>
      <c r="M31" s="3" t="str">
        <f t="shared" si="3"/>
        <v>100/0</v>
      </c>
      <c r="N31" s="10">
        <f t="shared" si="4"/>
        <v>0</v>
      </c>
      <c r="O31" s="10">
        <f t="shared" si="5"/>
        <v>0</v>
      </c>
      <c r="P31" s="10">
        <f t="shared" si="6"/>
        <v>63</v>
      </c>
      <c r="Q31" s="10">
        <f t="shared" si="7"/>
        <v>45</v>
      </c>
      <c r="R31" s="10">
        <f t="shared" si="8"/>
        <v>75</v>
      </c>
      <c r="S31" s="10">
        <f t="shared" si="9"/>
        <v>60</v>
      </c>
      <c r="T31" s="10">
        <f t="shared" si="10"/>
        <v>67.5</v>
      </c>
      <c r="U31" s="10">
        <f t="shared" si="11"/>
        <v>63.75</v>
      </c>
      <c r="V31" s="17">
        <f t="shared" si="12"/>
        <v>65.625</v>
      </c>
      <c r="W31" s="3"/>
      <c r="X31" s="3" t="s">
        <v>5</v>
      </c>
      <c r="Y31" s="3">
        <v>5</v>
      </c>
      <c r="Z31" s="3">
        <v>20</v>
      </c>
      <c r="AA31" s="3">
        <v>0</v>
      </c>
      <c r="AF31" s="3"/>
      <c r="AG31" s="3"/>
    </row>
    <row r="32" spans="1:33" x14ac:dyDescent="0.35">
      <c r="A32" s="3">
        <f t="shared" si="13"/>
        <v>30</v>
      </c>
      <c r="B32" s="3" t="s">
        <v>5</v>
      </c>
      <c r="C32" s="10">
        <v>0</v>
      </c>
      <c r="D32" s="3">
        <v>0</v>
      </c>
      <c r="E32" s="11">
        <v>0</v>
      </c>
      <c r="F32" s="10">
        <v>22</v>
      </c>
      <c r="G32" s="3">
        <v>27</v>
      </c>
      <c r="H32" s="11">
        <v>28</v>
      </c>
      <c r="I32" s="10">
        <f t="shared" si="23"/>
        <v>27.5</v>
      </c>
      <c r="J32" s="10">
        <f t="shared" si="24"/>
        <v>27.75</v>
      </c>
      <c r="K32" s="10">
        <f t="shared" si="25"/>
        <v>27.625</v>
      </c>
      <c r="M32" s="3" t="str">
        <f t="shared" si="3"/>
        <v>100/0</v>
      </c>
      <c r="N32" s="10">
        <f t="shared" si="4"/>
        <v>0</v>
      </c>
      <c r="O32" s="10">
        <f t="shared" si="5"/>
        <v>0</v>
      </c>
      <c r="P32" s="10">
        <f t="shared" si="6"/>
        <v>0</v>
      </c>
      <c r="Q32" s="10">
        <f t="shared" si="7"/>
        <v>66</v>
      </c>
      <c r="R32" s="10">
        <f t="shared" si="8"/>
        <v>81</v>
      </c>
      <c r="S32" s="10">
        <f t="shared" si="9"/>
        <v>84</v>
      </c>
      <c r="T32" s="10">
        <f t="shared" si="10"/>
        <v>82.5</v>
      </c>
      <c r="U32" s="10">
        <f t="shared" si="11"/>
        <v>83.25</v>
      </c>
      <c r="V32" s="17">
        <f t="shared" si="12"/>
        <v>82.875</v>
      </c>
      <c r="W32" s="3"/>
      <c r="X32" s="3" t="s">
        <v>5</v>
      </c>
      <c r="Y32" s="3">
        <v>6</v>
      </c>
      <c r="Z32" s="3">
        <v>20</v>
      </c>
      <c r="AA32" s="3">
        <v>0</v>
      </c>
      <c r="AF32" s="3"/>
      <c r="AG32" s="3"/>
    </row>
    <row r="33" spans="1:33" x14ac:dyDescent="0.35">
      <c r="A33" s="3">
        <f t="shared" si="13"/>
        <v>31</v>
      </c>
      <c r="B33" s="3" t="s">
        <v>5</v>
      </c>
      <c r="C33" s="10">
        <v>3</v>
      </c>
      <c r="D33" s="3">
        <v>23</v>
      </c>
      <c r="E33" s="11">
        <v>26</v>
      </c>
      <c r="F33" s="10">
        <v>25</v>
      </c>
      <c r="G33" s="3">
        <v>24</v>
      </c>
      <c r="H33" s="11">
        <v>23</v>
      </c>
      <c r="I33" s="10">
        <f t="shared" si="23"/>
        <v>23.5</v>
      </c>
      <c r="J33" s="10">
        <f t="shared" si="24"/>
        <v>23.25</v>
      </c>
      <c r="K33" s="10">
        <f t="shared" si="25"/>
        <v>23.375</v>
      </c>
      <c r="M33" s="3" t="str">
        <f t="shared" si="3"/>
        <v>100/0</v>
      </c>
      <c r="N33" s="10">
        <f t="shared" si="4"/>
        <v>9</v>
      </c>
      <c r="O33" s="10">
        <f t="shared" si="5"/>
        <v>69</v>
      </c>
      <c r="P33" s="10">
        <f t="shared" si="6"/>
        <v>78</v>
      </c>
      <c r="Q33" s="10">
        <f t="shared" si="7"/>
        <v>75</v>
      </c>
      <c r="R33" s="10">
        <f t="shared" si="8"/>
        <v>72</v>
      </c>
      <c r="S33" s="10">
        <f t="shared" si="9"/>
        <v>69</v>
      </c>
      <c r="T33" s="10">
        <f t="shared" si="10"/>
        <v>70.5</v>
      </c>
      <c r="U33" s="10">
        <f t="shared" si="11"/>
        <v>69.75</v>
      </c>
      <c r="V33" s="17">
        <f t="shared" si="12"/>
        <v>70.125</v>
      </c>
      <c r="W33" s="3"/>
      <c r="X33" s="3" t="s">
        <v>5</v>
      </c>
      <c r="Y33" s="3">
        <v>7</v>
      </c>
      <c r="Z33" s="3">
        <v>20</v>
      </c>
      <c r="AA33" s="3">
        <v>9</v>
      </c>
      <c r="AF33" s="3"/>
      <c r="AG33" s="3"/>
    </row>
    <row r="34" spans="1:33" x14ac:dyDescent="0.35">
      <c r="A34" s="3">
        <f t="shared" si="13"/>
        <v>32</v>
      </c>
      <c r="B34" s="3" t="s">
        <v>5</v>
      </c>
      <c r="C34" s="10">
        <v>4</v>
      </c>
      <c r="D34" s="3">
        <v>20</v>
      </c>
      <c r="E34" s="11">
        <v>29</v>
      </c>
      <c r="F34" s="10">
        <v>26</v>
      </c>
      <c r="G34" s="3">
        <v>23</v>
      </c>
      <c r="H34" s="11">
        <f>AVERAGE(F34,G34)</f>
        <v>24.5</v>
      </c>
      <c r="I34" s="10">
        <f t="shared" si="23"/>
        <v>23.75</v>
      </c>
      <c r="J34" s="10">
        <f t="shared" si="24"/>
        <v>24.125</v>
      </c>
      <c r="K34" s="10">
        <f t="shared" si="25"/>
        <v>23.9375</v>
      </c>
      <c r="M34" s="3" t="str">
        <f t="shared" si="3"/>
        <v>100/0</v>
      </c>
      <c r="N34" s="10">
        <f t="shared" si="4"/>
        <v>12</v>
      </c>
      <c r="O34" s="10">
        <f t="shared" si="5"/>
        <v>60</v>
      </c>
      <c r="P34" s="10">
        <f t="shared" si="6"/>
        <v>87</v>
      </c>
      <c r="Q34" s="10">
        <f t="shared" si="7"/>
        <v>78</v>
      </c>
      <c r="R34" s="10">
        <f t="shared" si="8"/>
        <v>69</v>
      </c>
      <c r="S34" s="10">
        <f t="shared" si="9"/>
        <v>73.5</v>
      </c>
      <c r="T34" s="10">
        <f t="shared" si="10"/>
        <v>71.25</v>
      </c>
      <c r="U34" s="10">
        <f t="shared" si="11"/>
        <v>72.375</v>
      </c>
      <c r="V34" s="17">
        <f t="shared" si="12"/>
        <v>71.8125</v>
      </c>
      <c r="W34" s="3"/>
      <c r="X34" s="3" t="s">
        <v>5</v>
      </c>
      <c r="Y34" s="3">
        <v>8</v>
      </c>
      <c r="Z34" s="3">
        <v>20</v>
      </c>
      <c r="AA34" s="3">
        <v>12</v>
      </c>
      <c r="AF34" s="3"/>
      <c r="AG34" s="3"/>
    </row>
    <row r="35" spans="1:33" x14ac:dyDescent="0.35">
      <c r="A35" s="3">
        <f t="shared" si="13"/>
        <v>33</v>
      </c>
      <c r="B35" s="3" t="s">
        <v>5</v>
      </c>
      <c r="C35" s="10">
        <v>0</v>
      </c>
      <c r="D35" s="3">
        <v>25</v>
      </c>
      <c r="E35" s="11">
        <v>14</v>
      </c>
      <c r="F35" s="10">
        <v>25</v>
      </c>
      <c r="G35" s="3">
        <v>28</v>
      </c>
      <c r="H35" s="11">
        <v>23</v>
      </c>
      <c r="I35" s="10">
        <f t="shared" si="23"/>
        <v>25.5</v>
      </c>
      <c r="J35" s="10">
        <f t="shared" si="24"/>
        <v>24.25</v>
      </c>
      <c r="K35" s="10">
        <f t="shared" si="25"/>
        <v>24.875</v>
      </c>
      <c r="M35" s="3" t="str">
        <f t="shared" si="3"/>
        <v>100/0</v>
      </c>
      <c r="N35" s="10">
        <f t="shared" si="4"/>
        <v>0</v>
      </c>
      <c r="O35" s="10">
        <f t="shared" si="5"/>
        <v>75</v>
      </c>
      <c r="P35" s="10">
        <f t="shared" si="6"/>
        <v>42</v>
      </c>
      <c r="Q35" s="10">
        <f t="shared" si="7"/>
        <v>75</v>
      </c>
      <c r="R35" s="10">
        <f t="shared" si="8"/>
        <v>84</v>
      </c>
      <c r="S35" s="10">
        <f t="shared" si="9"/>
        <v>69</v>
      </c>
      <c r="T35" s="10">
        <f t="shared" si="10"/>
        <v>76.5</v>
      </c>
      <c r="U35" s="10">
        <f t="shared" si="11"/>
        <v>72.75</v>
      </c>
      <c r="V35" s="17">
        <f t="shared" si="12"/>
        <v>74.625</v>
      </c>
      <c r="W35" s="3"/>
      <c r="X35" s="3" t="s">
        <v>5</v>
      </c>
      <c r="Y35" s="3">
        <v>9</v>
      </c>
      <c r="Z35" s="3">
        <v>20</v>
      </c>
      <c r="AA35" s="3">
        <v>0</v>
      </c>
      <c r="AF35" s="3"/>
      <c r="AG35" s="3"/>
    </row>
    <row r="36" spans="1:33" x14ac:dyDescent="0.35">
      <c r="A36" s="3">
        <f t="shared" si="13"/>
        <v>34</v>
      </c>
      <c r="B36" s="3" t="s">
        <v>5</v>
      </c>
      <c r="C36" s="10">
        <v>0</v>
      </c>
      <c r="D36" s="3">
        <v>12</v>
      </c>
      <c r="E36" s="11">
        <v>20</v>
      </c>
      <c r="F36" s="10">
        <v>20</v>
      </c>
      <c r="G36" s="3">
        <v>38</v>
      </c>
      <c r="H36" s="11">
        <v>37</v>
      </c>
      <c r="I36" s="10">
        <v>31</v>
      </c>
      <c r="J36" s="3">
        <v>31</v>
      </c>
      <c r="K36" s="11">
        <v>30</v>
      </c>
      <c r="M36" s="3" t="str">
        <f t="shared" si="3"/>
        <v>100/0</v>
      </c>
      <c r="N36" s="10">
        <f t="shared" si="4"/>
        <v>0</v>
      </c>
      <c r="O36" s="10">
        <f t="shared" si="5"/>
        <v>36</v>
      </c>
      <c r="P36" s="10">
        <f t="shared" si="6"/>
        <v>60</v>
      </c>
      <c r="Q36" s="10">
        <f t="shared" si="7"/>
        <v>60</v>
      </c>
      <c r="R36" s="10">
        <f t="shared" si="8"/>
        <v>114</v>
      </c>
      <c r="S36" s="10">
        <f t="shared" si="9"/>
        <v>111</v>
      </c>
      <c r="T36" s="10">
        <f t="shared" si="10"/>
        <v>93</v>
      </c>
      <c r="U36" s="10">
        <f t="shared" si="11"/>
        <v>93</v>
      </c>
      <c r="V36" s="17">
        <f t="shared" si="12"/>
        <v>90</v>
      </c>
      <c r="W36" s="3"/>
      <c r="X36" s="3" t="s">
        <v>5</v>
      </c>
      <c r="Y36" s="3">
        <v>10</v>
      </c>
      <c r="Z36" s="3">
        <v>20</v>
      </c>
      <c r="AA36" s="3">
        <v>0</v>
      </c>
      <c r="AF36" s="3"/>
      <c r="AG36" s="3"/>
    </row>
    <row r="37" spans="1:33" x14ac:dyDescent="0.35">
      <c r="A37" s="3">
        <f t="shared" si="13"/>
        <v>35</v>
      </c>
      <c r="B37" s="3" t="s">
        <v>5</v>
      </c>
      <c r="C37" s="10">
        <v>0</v>
      </c>
      <c r="D37" s="3">
        <v>9</v>
      </c>
      <c r="E37" s="11">
        <v>20</v>
      </c>
      <c r="F37" s="10">
        <v>22</v>
      </c>
      <c r="G37" s="3">
        <v>25</v>
      </c>
      <c r="H37" s="11">
        <f>AVERAGE(F37,G37)</f>
        <v>23.5</v>
      </c>
      <c r="I37" s="10">
        <f t="shared" ref="I37:I38" si="26">AVERAGE(G37:H37)</f>
        <v>24.25</v>
      </c>
      <c r="J37" s="10">
        <f t="shared" ref="J37:J38" si="27">AVERAGE(H37:I37)</f>
        <v>23.875</v>
      </c>
      <c r="K37" s="10">
        <f t="shared" ref="K37:K38" si="28">AVERAGE(I37:J37)</f>
        <v>24.0625</v>
      </c>
      <c r="M37" s="3" t="str">
        <f t="shared" si="3"/>
        <v>100/0</v>
      </c>
      <c r="N37" s="10">
        <f t="shared" si="4"/>
        <v>0</v>
      </c>
      <c r="O37" s="10">
        <f t="shared" si="5"/>
        <v>27</v>
      </c>
      <c r="P37" s="10">
        <f t="shared" si="6"/>
        <v>60</v>
      </c>
      <c r="Q37" s="10">
        <f t="shared" si="7"/>
        <v>66</v>
      </c>
      <c r="R37" s="10">
        <f t="shared" si="8"/>
        <v>75</v>
      </c>
      <c r="S37" s="10">
        <f t="shared" si="9"/>
        <v>70.5</v>
      </c>
      <c r="T37" s="10">
        <f t="shared" si="10"/>
        <v>72.75</v>
      </c>
      <c r="U37" s="10">
        <f t="shared" si="11"/>
        <v>71.625</v>
      </c>
      <c r="V37" s="17">
        <f t="shared" si="12"/>
        <v>72.1875</v>
      </c>
      <c r="W37" s="3"/>
      <c r="X37" s="3" t="s">
        <v>5</v>
      </c>
      <c r="Y37" s="3">
        <v>11</v>
      </c>
      <c r="Z37" s="3">
        <v>20</v>
      </c>
      <c r="AA37" s="3">
        <v>0</v>
      </c>
      <c r="AF37" s="3"/>
      <c r="AG37" s="3"/>
    </row>
    <row r="38" spans="1:33" x14ac:dyDescent="0.35">
      <c r="A38" s="3">
        <f t="shared" si="13"/>
        <v>36</v>
      </c>
      <c r="B38" s="3" t="s">
        <v>5</v>
      </c>
      <c r="C38" s="10">
        <v>0</v>
      </c>
      <c r="D38" s="3">
        <v>0</v>
      </c>
      <c r="E38" s="11">
        <v>13</v>
      </c>
      <c r="F38" s="10">
        <v>24</v>
      </c>
      <c r="G38" s="3">
        <v>30</v>
      </c>
      <c r="H38" s="11">
        <v>22</v>
      </c>
      <c r="I38" s="10">
        <f t="shared" si="26"/>
        <v>26</v>
      </c>
      <c r="J38" s="10">
        <f t="shared" si="27"/>
        <v>24</v>
      </c>
      <c r="K38" s="10">
        <f t="shared" si="28"/>
        <v>25</v>
      </c>
      <c r="M38" s="3" t="str">
        <f t="shared" si="3"/>
        <v>100/0</v>
      </c>
      <c r="N38" s="18">
        <f t="shared" si="4"/>
        <v>0</v>
      </c>
      <c r="O38" s="18">
        <f t="shared" si="5"/>
        <v>0</v>
      </c>
      <c r="P38" s="18">
        <f t="shared" si="6"/>
        <v>39</v>
      </c>
      <c r="Q38" s="18">
        <f t="shared" si="7"/>
        <v>72</v>
      </c>
      <c r="R38" s="18">
        <f t="shared" si="8"/>
        <v>90</v>
      </c>
      <c r="S38" s="18">
        <f t="shared" si="9"/>
        <v>66</v>
      </c>
      <c r="T38" s="18">
        <f t="shared" si="10"/>
        <v>78</v>
      </c>
      <c r="U38" s="18">
        <f t="shared" si="11"/>
        <v>72</v>
      </c>
      <c r="V38" s="19">
        <f t="shared" si="12"/>
        <v>75</v>
      </c>
      <c r="W38" s="3"/>
      <c r="X38" s="3" t="s">
        <v>5</v>
      </c>
      <c r="Y38" s="3">
        <v>12</v>
      </c>
      <c r="Z38" s="3">
        <v>20</v>
      </c>
      <c r="AA38" s="3">
        <v>0</v>
      </c>
    </row>
    <row r="39" spans="1:33" x14ac:dyDescent="0.35">
      <c r="A39" s="3"/>
      <c r="B39" s="3"/>
      <c r="C39" s="10"/>
      <c r="D39" s="3"/>
      <c r="E39" s="11"/>
      <c r="F39" s="10"/>
      <c r="G39" s="3"/>
      <c r="H39" s="11"/>
      <c r="I39" s="10"/>
      <c r="J39" s="3"/>
      <c r="K39" s="11"/>
      <c r="M39" s="3"/>
      <c r="N39" s="10"/>
      <c r="O39" s="3"/>
      <c r="P39" s="11"/>
      <c r="Q39" s="10"/>
      <c r="R39" s="3"/>
      <c r="S39" s="11"/>
      <c r="T39" s="10"/>
      <c r="U39" s="3"/>
      <c r="V39" s="11"/>
      <c r="W39" s="3"/>
      <c r="X39" s="3" t="s">
        <v>3</v>
      </c>
      <c r="Y39" s="3">
        <v>1</v>
      </c>
      <c r="Z39" s="3">
        <v>40</v>
      </c>
      <c r="AA39" s="3">
        <v>39</v>
      </c>
    </row>
    <row r="40" spans="1:33" x14ac:dyDescent="0.35">
      <c r="X40" s="3" t="s">
        <v>4</v>
      </c>
      <c r="Y40" s="3">
        <v>1</v>
      </c>
      <c r="Z40" s="3">
        <v>40</v>
      </c>
      <c r="AA40" s="3">
        <v>45</v>
      </c>
    </row>
    <row r="41" spans="1:33" x14ac:dyDescent="0.35">
      <c r="X41" s="3" t="s">
        <v>4</v>
      </c>
      <c r="Y41" s="3">
        <v>2</v>
      </c>
      <c r="Z41" s="3">
        <v>40</v>
      </c>
      <c r="AA41" s="3">
        <v>60</v>
      </c>
    </row>
    <row r="42" spans="1:33" x14ac:dyDescent="0.35">
      <c r="X42" s="3" t="s">
        <v>3</v>
      </c>
      <c r="Y42" s="3">
        <v>2</v>
      </c>
      <c r="Z42" s="3">
        <v>40</v>
      </c>
      <c r="AA42" s="3">
        <v>84</v>
      </c>
    </row>
    <row r="43" spans="1:33" x14ac:dyDescent="0.35">
      <c r="X43" s="3" t="s">
        <v>4</v>
      </c>
      <c r="Y43" s="3">
        <v>3</v>
      </c>
      <c r="Z43" s="3">
        <v>40</v>
      </c>
      <c r="AA43" s="3">
        <v>60</v>
      </c>
    </row>
    <row r="44" spans="1:33" x14ac:dyDescent="0.35">
      <c r="X44" s="3" t="s">
        <v>3</v>
      </c>
      <c r="Y44" s="3">
        <v>3</v>
      </c>
      <c r="Z44" s="3">
        <v>40</v>
      </c>
      <c r="AA44" s="3">
        <v>78</v>
      </c>
    </row>
    <row r="45" spans="1:33" x14ac:dyDescent="0.35">
      <c r="X45" s="3" t="s">
        <v>4</v>
      </c>
      <c r="Y45" s="3">
        <v>4</v>
      </c>
      <c r="Z45" s="3">
        <v>40</v>
      </c>
      <c r="AA45" s="3">
        <v>90</v>
      </c>
    </row>
    <row r="46" spans="1:33" x14ac:dyDescent="0.35">
      <c r="X46" s="3" t="s">
        <v>3</v>
      </c>
      <c r="Y46" s="3">
        <v>4</v>
      </c>
      <c r="Z46" s="3">
        <v>40</v>
      </c>
      <c r="AA46" s="3">
        <v>75</v>
      </c>
    </row>
    <row r="47" spans="1:33" x14ac:dyDescent="0.35">
      <c r="X47" s="3" t="s">
        <v>3</v>
      </c>
      <c r="Y47" s="3">
        <v>5</v>
      </c>
      <c r="Z47" s="3">
        <v>40</v>
      </c>
      <c r="AA47" s="3">
        <v>60</v>
      </c>
    </row>
    <row r="48" spans="1:33" x14ac:dyDescent="0.35">
      <c r="X48" s="3" t="s">
        <v>4</v>
      </c>
      <c r="Y48" s="3">
        <v>5</v>
      </c>
      <c r="Z48" s="3">
        <v>40</v>
      </c>
      <c r="AA48" s="3">
        <v>45</v>
      </c>
    </row>
    <row r="49" spans="24:27" x14ac:dyDescent="0.35">
      <c r="X49" s="3" t="s">
        <v>3</v>
      </c>
      <c r="Y49" s="3">
        <v>6</v>
      </c>
      <c r="Z49" s="3">
        <v>40</v>
      </c>
      <c r="AA49" s="3">
        <v>108</v>
      </c>
    </row>
    <row r="50" spans="24:27" x14ac:dyDescent="0.35">
      <c r="X50" s="3" t="s">
        <v>4</v>
      </c>
      <c r="Y50" s="3">
        <v>6</v>
      </c>
      <c r="Z50" s="3">
        <v>40</v>
      </c>
      <c r="AA50" s="3">
        <v>72</v>
      </c>
    </row>
    <row r="51" spans="24:27" x14ac:dyDescent="0.35">
      <c r="X51" s="3" t="s">
        <v>3</v>
      </c>
      <c r="Y51" s="3">
        <v>7</v>
      </c>
      <c r="Z51" s="3">
        <v>40</v>
      </c>
      <c r="AA51" s="3">
        <v>63</v>
      </c>
    </row>
    <row r="52" spans="24:27" x14ac:dyDescent="0.35">
      <c r="X52" s="3" t="s">
        <v>3</v>
      </c>
      <c r="Y52" s="3">
        <v>8</v>
      </c>
      <c r="Z52" s="3">
        <v>40</v>
      </c>
      <c r="AA52" s="3">
        <v>33</v>
      </c>
    </row>
    <row r="53" spans="24:27" x14ac:dyDescent="0.35">
      <c r="X53" s="3" t="s">
        <v>3</v>
      </c>
      <c r="Y53" s="3">
        <v>9</v>
      </c>
      <c r="Z53" s="3">
        <v>40</v>
      </c>
      <c r="AA53" s="3">
        <v>66</v>
      </c>
    </row>
    <row r="54" spans="24:27" x14ac:dyDescent="0.35">
      <c r="X54" s="3" t="s">
        <v>3</v>
      </c>
      <c r="Y54" s="3">
        <v>10</v>
      </c>
      <c r="Z54" s="3">
        <v>40</v>
      </c>
      <c r="AA54" s="3">
        <v>75</v>
      </c>
    </row>
    <row r="55" spans="24:27" x14ac:dyDescent="0.35">
      <c r="X55" s="3" t="s">
        <v>3</v>
      </c>
      <c r="Y55" s="3">
        <v>11</v>
      </c>
      <c r="Z55" s="3">
        <v>40</v>
      </c>
      <c r="AA55" s="3">
        <v>66</v>
      </c>
    </row>
    <row r="56" spans="24:27" x14ac:dyDescent="0.35">
      <c r="X56" s="3" t="s">
        <v>3</v>
      </c>
      <c r="Y56" s="3">
        <v>12</v>
      </c>
      <c r="Z56" s="3">
        <v>40</v>
      </c>
      <c r="AA56" s="3">
        <v>66</v>
      </c>
    </row>
    <row r="57" spans="24:27" x14ac:dyDescent="0.35">
      <c r="X57" s="3" t="s">
        <v>4</v>
      </c>
      <c r="Y57" s="3">
        <v>7</v>
      </c>
      <c r="Z57" s="3">
        <v>40</v>
      </c>
      <c r="AA57" s="3">
        <v>69</v>
      </c>
    </row>
    <row r="58" spans="24:27" x14ac:dyDescent="0.35">
      <c r="X58" s="3" t="s">
        <v>4</v>
      </c>
      <c r="Y58" s="3">
        <v>8</v>
      </c>
      <c r="Z58" s="3">
        <v>40</v>
      </c>
      <c r="AA58" s="3">
        <v>87</v>
      </c>
    </row>
    <row r="59" spans="24:27" x14ac:dyDescent="0.35">
      <c r="X59" s="3" t="s">
        <v>4</v>
      </c>
      <c r="Y59" s="3">
        <v>9</v>
      </c>
      <c r="Z59" s="3">
        <v>40</v>
      </c>
      <c r="AA59" s="3">
        <v>75</v>
      </c>
    </row>
    <row r="60" spans="24:27" x14ac:dyDescent="0.35">
      <c r="X60" s="3" t="s">
        <v>4</v>
      </c>
      <c r="Y60" s="3">
        <v>10</v>
      </c>
      <c r="Z60" s="3">
        <v>40</v>
      </c>
      <c r="AA60" s="3">
        <v>45</v>
      </c>
    </row>
    <row r="61" spans="24:27" x14ac:dyDescent="0.35">
      <c r="X61" s="3" t="s">
        <v>4</v>
      </c>
      <c r="Y61" s="3">
        <v>11</v>
      </c>
      <c r="Z61" s="3">
        <v>40</v>
      </c>
      <c r="AA61" s="3">
        <v>0</v>
      </c>
    </row>
    <row r="62" spans="24:27" x14ac:dyDescent="0.35">
      <c r="X62" s="3" t="s">
        <v>4</v>
      </c>
      <c r="Y62" s="3">
        <v>12</v>
      </c>
      <c r="Z62" s="3">
        <v>40</v>
      </c>
      <c r="AA62" s="3">
        <v>60</v>
      </c>
    </row>
    <row r="63" spans="24:27" x14ac:dyDescent="0.35">
      <c r="X63" s="3" t="s">
        <v>5</v>
      </c>
      <c r="Y63" s="3">
        <v>1</v>
      </c>
      <c r="Z63" s="3">
        <v>40</v>
      </c>
      <c r="AA63" s="3">
        <v>15</v>
      </c>
    </row>
    <row r="64" spans="24:27" x14ac:dyDescent="0.35">
      <c r="X64" s="3" t="s">
        <v>5</v>
      </c>
      <c r="Y64" s="3">
        <v>2</v>
      </c>
      <c r="Z64" s="3">
        <v>40</v>
      </c>
      <c r="AA64" s="3">
        <v>24</v>
      </c>
    </row>
    <row r="65" spans="24:27" x14ac:dyDescent="0.35">
      <c r="X65" s="3" t="s">
        <v>5</v>
      </c>
      <c r="Y65" s="3">
        <v>3</v>
      </c>
      <c r="Z65" s="3">
        <v>40</v>
      </c>
      <c r="AA65" s="3">
        <v>15</v>
      </c>
    </row>
    <row r="66" spans="24:27" x14ac:dyDescent="0.35">
      <c r="X66" s="3" t="s">
        <v>5</v>
      </c>
      <c r="Y66" s="3">
        <v>4</v>
      </c>
      <c r="Z66" s="3">
        <v>40</v>
      </c>
      <c r="AA66" s="3">
        <v>0</v>
      </c>
    </row>
    <row r="67" spans="24:27" x14ac:dyDescent="0.35">
      <c r="X67" s="3" t="s">
        <v>5</v>
      </c>
      <c r="Y67" s="3">
        <v>5</v>
      </c>
      <c r="Z67" s="3">
        <v>40</v>
      </c>
      <c r="AA67" s="3">
        <v>0</v>
      </c>
    </row>
    <row r="68" spans="24:27" x14ac:dyDescent="0.35">
      <c r="X68" s="3" t="s">
        <v>5</v>
      </c>
      <c r="Y68" s="3">
        <v>6</v>
      </c>
      <c r="Z68" s="3">
        <v>40</v>
      </c>
      <c r="AA68" s="3">
        <v>0</v>
      </c>
    </row>
    <row r="69" spans="24:27" x14ac:dyDescent="0.35">
      <c r="X69" s="3" t="s">
        <v>5</v>
      </c>
      <c r="Y69" s="3">
        <v>7</v>
      </c>
      <c r="Z69" s="3">
        <v>40</v>
      </c>
      <c r="AA69" s="3">
        <v>69</v>
      </c>
    </row>
    <row r="70" spans="24:27" x14ac:dyDescent="0.35">
      <c r="X70" s="3" t="s">
        <v>5</v>
      </c>
      <c r="Y70" s="3">
        <v>8</v>
      </c>
      <c r="Z70" s="3">
        <v>40</v>
      </c>
      <c r="AA70" s="3">
        <v>60</v>
      </c>
    </row>
    <row r="71" spans="24:27" x14ac:dyDescent="0.35">
      <c r="X71" s="3" t="s">
        <v>5</v>
      </c>
      <c r="Y71" s="3">
        <v>9</v>
      </c>
      <c r="Z71" s="3">
        <v>40</v>
      </c>
      <c r="AA71" s="3">
        <v>75</v>
      </c>
    </row>
    <row r="72" spans="24:27" x14ac:dyDescent="0.35">
      <c r="X72" s="3" t="s">
        <v>5</v>
      </c>
      <c r="Y72" s="3">
        <v>10</v>
      </c>
      <c r="Z72" s="3">
        <v>40</v>
      </c>
      <c r="AA72" s="3">
        <v>36</v>
      </c>
    </row>
    <row r="73" spans="24:27" x14ac:dyDescent="0.35">
      <c r="X73" s="3" t="s">
        <v>5</v>
      </c>
      <c r="Y73" s="3">
        <v>11</v>
      </c>
      <c r="Z73" s="3">
        <v>40</v>
      </c>
      <c r="AA73" s="3">
        <v>27</v>
      </c>
    </row>
    <row r="74" spans="24:27" x14ac:dyDescent="0.35">
      <c r="X74" s="3" t="s">
        <v>5</v>
      </c>
      <c r="Y74" s="3">
        <v>12</v>
      </c>
      <c r="Z74" s="3">
        <v>40</v>
      </c>
      <c r="AA74" s="3">
        <v>0</v>
      </c>
    </row>
    <row r="75" spans="24:27" x14ac:dyDescent="0.35">
      <c r="X75" s="3" t="s">
        <v>3</v>
      </c>
      <c r="Y75" s="3">
        <v>1</v>
      </c>
      <c r="Z75" s="3">
        <v>60</v>
      </c>
      <c r="AA75" s="3">
        <v>69</v>
      </c>
    </row>
    <row r="76" spans="24:27" x14ac:dyDescent="0.35">
      <c r="X76" s="3" t="s">
        <v>4</v>
      </c>
      <c r="Y76" s="3">
        <v>1</v>
      </c>
      <c r="Z76" s="3">
        <v>60</v>
      </c>
      <c r="AA76" s="3">
        <v>45</v>
      </c>
    </row>
    <row r="77" spans="24:27" x14ac:dyDescent="0.35">
      <c r="X77" s="3" t="s">
        <v>4</v>
      </c>
      <c r="Y77" s="3">
        <v>2</v>
      </c>
      <c r="Z77" s="3">
        <v>60</v>
      </c>
      <c r="AA77" s="3">
        <v>66</v>
      </c>
    </row>
    <row r="78" spans="24:27" x14ac:dyDescent="0.35">
      <c r="X78" s="3" t="s">
        <v>3</v>
      </c>
      <c r="Y78" s="3">
        <v>2</v>
      </c>
      <c r="Z78" s="3">
        <v>60</v>
      </c>
      <c r="AA78" s="3">
        <v>114</v>
      </c>
    </row>
    <row r="79" spans="24:27" x14ac:dyDescent="0.35">
      <c r="X79" s="3" t="s">
        <v>4</v>
      </c>
      <c r="Y79" s="3">
        <v>3</v>
      </c>
      <c r="Z79" s="3">
        <v>60</v>
      </c>
      <c r="AA79" s="3">
        <v>66</v>
      </c>
    </row>
    <row r="80" spans="24:27" x14ac:dyDescent="0.35">
      <c r="X80" s="3" t="s">
        <v>3</v>
      </c>
      <c r="Y80" s="3">
        <v>3</v>
      </c>
      <c r="Z80" s="3">
        <v>60</v>
      </c>
      <c r="AA80" s="3">
        <v>78</v>
      </c>
    </row>
    <row r="81" spans="24:27" x14ac:dyDescent="0.35">
      <c r="X81" s="3" t="s">
        <v>4</v>
      </c>
      <c r="Y81" s="3">
        <v>4</v>
      </c>
      <c r="Z81" s="3">
        <v>60</v>
      </c>
      <c r="AA81" s="3">
        <v>99</v>
      </c>
    </row>
    <row r="82" spans="24:27" x14ac:dyDescent="0.35">
      <c r="X82" s="3" t="s">
        <v>3</v>
      </c>
      <c r="Y82" s="3">
        <v>4</v>
      </c>
      <c r="Z82" s="3">
        <v>60</v>
      </c>
      <c r="AA82" s="3">
        <v>96</v>
      </c>
    </row>
    <row r="83" spans="24:27" x14ac:dyDescent="0.35">
      <c r="X83" s="3" t="s">
        <v>3</v>
      </c>
      <c r="Y83" s="3">
        <v>5</v>
      </c>
      <c r="Z83" s="3">
        <v>60</v>
      </c>
      <c r="AA83" s="3">
        <v>93</v>
      </c>
    </row>
    <row r="84" spans="24:27" x14ac:dyDescent="0.35">
      <c r="X84" s="3" t="s">
        <v>4</v>
      </c>
      <c r="Y84" s="3">
        <v>5</v>
      </c>
      <c r="Z84" s="3">
        <v>60</v>
      </c>
      <c r="AA84" s="3">
        <v>84</v>
      </c>
    </row>
    <row r="85" spans="24:27" x14ac:dyDescent="0.35">
      <c r="X85" s="3" t="s">
        <v>3</v>
      </c>
      <c r="Y85" s="3">
        <v>6</v>
      </c>
      <c r="Z85" s="3">
        <v>60</v>
      </c>
      <c r="AA85" s="3">
        <v>96</v>
      </c>
    </row>
    <row r="86" spans="24:27" x14ac:dyDescent="0.35">
      <c r="X86" s="3" t="s">
        <v>4</v>
      </c>
      <c r="Y86" s="3">
        <v>6</v>
      </c>
      <c r="Z86" s="3">
        <v>60</v>
      </c>
      <c r="AA86" s="3">
        <v>75</v>
      </c>
    </row>
    <row r="87" spans="24:27" x14ac:dyDescent="0.35">
      <c r="X87" s="3" t="s">
        <v>3</v>
      </c>
      <c r="Y87" s="3">
        <v>7</v>
      </c>
      <c r="Z87" s="3">
        <v>60</v>
      </c>
      <c r="AA87" s="3">
        <v>51</v>
      </c>
    </row>
    <row r="88" spans="24:27" x14ac:dyDescent="0.35">
      <c r="X88" s="3" t="s">
        <v>3</v>
      </c>
      <c r="Y88" s="3">
        <v>8</v>
      </c>
      <c r="Z88" s="3">
        <v>60</v>
      </c>
      <c r="AA88" s="3">
        <v>51</v>
      </c>
    </row>
    <row r="89" spans="24:27" x14ac:dyDescent="0.35">
      <c r="X89" s="3" t="s">
        <v>3</v>
      </c>
      <c r="Y89" s="3">
        <v>9</v>
      </c>
      <c r="Z89" s="3">
        <v>60</v>
      </c>
      <c r="AA89" s="3">
        <v>78</v>
      </c>
    </row>
    <row r="90" spans="24:27" x14ac:dyDescent="0.35">
      <c r="X90" s="3" t="s">
        <v>3</v>
      </c>
      <c r="Y90" s="3">
        <v>10</v>
      </c>
      <c r="Z90" s="3">
        <v>60</v>
      </c>
      <c r="AA90" s="3">
        <v>78</v>
      </c>
    </row>
    <row r="91" spans="24:27" x14ac:dyDescent="0.35">
      <c r="X91" s="3" t="s">
        <v>3</v>
      </c>
      <c r="Y91" s="3">
        <v>11</v>
      </c>
      <c r="Z91" s="3">
        <v>60</v>
      </c>
      <c r="AA91" s="3">
        <v>75</v>
      </c>
    </row>
    <row r="92" spans="24:27" x14ac:dyDescent="0.35">
      <c r="X92" s="3" t="s">
        <v>3</v>
      </c>
      <c r="Y92" s="3">
        <v>12</v>
      </c>
      <c r="Z92" s="3">
        <v>60</v>
      </c>
      <c r="AA92" s="3">
        <v>81</v>
      </c>
    </row>
    <row r="93" spans="24:27" x14ac:dyDescent="0.35">
      <c r="X93" s="3" t="s">
        <v>4</v>
      </c>
      <c r="Y93" s="3">
        <v>7</v>
      </c>
      <c r="Z93" s="3">
        <v>60</v>
      </c>
      <c r="AA93" s="3">
        <v>81</v>
      </c>
    </row>
    <row r="94" spans="24:27" x14ac:dyDescent="0.35">
      <c r="X94" s="3" t="s">
        <v>4</v>
      </c>
      <c r="Y94" s="3">
        <v>8</v>
      </c>
      <c r="Z94" s="3">
        <v>60</v>
      </c>
      <c r="AA94" s="3">
        <v>99</v>
      </c>
    </row>
    <row r="95" spans="24:27" x14ac:dyDescent="0.35">
      <c r="X95" s="3" t="s">
        <v>4</v>
      </c>
      <c r="Y95" s="3">
        <v>9</v>
      </c>
      <c r="Z95" s="3">
        <v>60</v>
      </c>
      <c r="AA95" s="3">
        <v>45</v>
      </c>
    </row>
    <row r="96" spans="24:27" x14ac:dyDescent="0.35">
      <c r="X96" s="3" t="s">
        <v>4</v>
      </c>
      <c r="Y96" s="3">
        <v>10</v>
      </c>
      <c r="Z96" s="3">
        <v>60</v>
      </c>
      <c r="AA96" s="3">
        <v>81</v>
      </c>
    </row>
    <row r="97" spans="24:27" x14ac:dyDescent="0.35">
      <c r="X97" s="3" t="s">
        <v>4</v>
      </c>
      <c r="Y97" s="3">
        <v>11</v>
      </c>
      <c r="Z97" s="3">
        <v>60</v>
      </c>
      <c r="AA97" s="3">
        <v>42</v>
      </c>
    </row>
    <row r="98" spans="24:27" x14ac:dyDescent="0.35">
      <c r="X98" s="3" t="s">
        <v>4</v>
      </c>
      <c r="Y98" s="3">
        <v>12</v>
      </c>
      <c r="Z98" s="3">
        <v>60</v>
      </c>
      <c r="AA98" s="3">
        <v>60</v>
      </c>
    </row>
    <row r="99" spans="24:27" x14ac:dyDescent="0.35">
      <c r="X99" s="3" t="s">
        <v>5</v>
      </c>
      <c r="Y99" s="3">
        <v>1</v>
      </c>
      <c r="Z99" s="3">
        <v>60</v>
      </c>
      <c r="AA99" s="3">
        <v>69</v>
      </c>
    </row>
    <row r="100" spans="24:27" x14ac:dyDescent="0.35">
      <c r="X100" s="3" t="s">
        <v>5</v>
      </c>
      <c r="Y100" s="3">
        <v>2</v>
      </c>
      <c r="Z100" s="3">
        <v>60</v>
      </c>
      <c r="AA100" s="3">
        <v>57</v>
      </c>
    </row>
    <row r="101" spans="24:27" x14ac:dyDescent="0.35">
      <c r="X101" s="3" t="s">
        <v>5</v>
      </c>
      <c r="Y101" s="3">
        <v>3</v>
      </c>
      <c r="Z101" s="3">
        <v>60</v>
      </c>
      <c r="AA101" s="3">
        <v>33</v>
      </c>
    </row>
    <row r="102" spans="24:27" x14ac:dyDescent="0.35">
      <c r="X102" s="3" t="s">
        <v>5</v>
      </c>
      <c r="Y102" s="3">
        <v>4</v>
      </c>
      <c r="Z102" s="3">
        <v>60</v>
      </c>
      <c r="AA102" s="3">
        <v>0</v>
      </c>
    </row>
    <row r="103" spans="24:27" x14ac:dyDescent="0.35">
      <c r="X103" s="3" t="s">
        <v>5</v>
      </c>
      <c r="Y103" s="3">
        <v>5</v>
      </c>
      <c r="Z103" s="3">
        <v>60</v>
      </c>
      <c r="AA103" s="3">
        <v>63</v>
      </c>
    </row>
    <row r="104" spans="24:27" x14ac:dyDescent="0.35">
      <c r="X104" s="3" t="s">
        <v>5</v>
      </c>
      <c r="Y104" s="3">
        <v>6</v>
      </c>
      <c r="Z104" s="3">
        <v>60</v>
      </c>
      <c r="AA104" s="3">
        <v>0</v>
      </c>
    </row>
    <row r="105" spans="24:27" x14ac:dyDescent="0.35">
      <c r="X105" s="3" t="s">
        <v>5</v>
      </c>
      <c r="Y105" s="3">
        <v>7</v>
      </c>
      <c r="Z105" s="3">
        <v>60</v>
      </c>
      <c r="AA105" s="3">
        <v>78</v>
      </c>
    </row>
    <row r="106" spans="24:27" x14ac:dyDescent="0.35">
      <c r="X106" s="3" t="s">
        <v>5</v>
      </c>
      <c r="Y106" s="3">
        <v>8</v>
      </c>
      <c r="Z106" s="3">
        <v>60</v>
      </c>
      <c r="AA106" s="3">
        <v>87</v>
      </c>
    </row>
    <row r="107" spans="24:27" x14ac:dyDescent="0.35">
      <c r="X107" s="3" t="s">
        <v>5</v>
      </c>
      <c r="Y107" s="3">
        <v>9</v>
      </c>
      <c r="Z107" s="3">
        <v>60</v>
      </c>
      <c r="AA107" s="3">
        <v>42</v>
      </c>
    </row>
    <row r="108" spans="24:27" x14ac:dyDescent="0.35">
      <c r="X108" s="3" t="s">
        <v>5</v>
      </c>
      <c r="Y108" s="3">
        <v>10</v>
      </c>
      <c r="Z108" s="3">
        <v>60</v>
      </c>
      <c r="AA108" s="3">
        <v>60</v>
      </c>
    </row>
    <row r="109" spans="24:27" x14ac:dyDescent="0.35">
      <c r="X109" s="3" t="s">
        <v>5</v>
      </c>
      <c r="Y109" s="3">
        <v>11</v>
      </c>
      <c r="Z109" s="3">
        <v>60</v>
      </c>
      <c r="AA109" s="3">
        <v>60</v>
      </c>
    </row>
    <row r="110" spans="24:27" x14ac:dyDescent="0.35">
      <c r="X110" s="3" t="s">
        <v>5</v>
      </c>
      <c r="Y110" s="3">
        <v>12</v>
      </c>
      <c r="Z110" s="3">
        <v>60</v>
      </c>
      <c r="AA110" s="3">
        <v>39</v>
      </c>
    </row>
    <row r="111" spans="24:27" x14ac:dyDescent="0.35">
      <c r="X111" s="3" t="s">
        <v>3</v>
      </c>
      <c r="Y111" s="3">
        <v>1</v>
      </c>
      <c r="Z111" s="3">
        <v>80</v>
      </c>
      <c r="AA111" s="3">
        <v>45</v>
      </c>
    </row>
    <row r="112" spans="24:27" x14ac:dyDescent="0.35">
      <c r="X112" s="3" t="s">
        <v>4</v>
      </c>
      <c r="Y112" s="3">
        <v>1</v>
      </c>
      <c r="Z112" s="3">
        <v>80</v>
      </c>
      <c r="AA112" s="3">
        <v>48</v>
      </c>
    </row>
    <row r="113" spans="24:27" x14ac:dyDescent="0.35">
      <c r="X113" s="3" t="s">
        <v>4</v>
      </c>
      <c r="Y113" s="3">
        <v>2</v>
      </c>
      <c r="Z113" s="3">
        <v>80</v>
      </c>
      <c r="AA113" s="3">
        <v>69</v>
      </c>
    </row>
    <row r="114" spans="24:27" x14ac:dyDescent="0.35">
      <c r="X114" s="3" t="s">
        <v>3</v>
      </c>
      <c r="Y114" s="3">
        <v>2</v>
      </c>
      <c r="Z114" s="3">
        <v>80</v>
      </c>
      <c r="AA114" s="3">
        <v>75</v>
      </c>
    </row>
    <row r="115" spans="24:27" x14ac:dyDescent="0.35">
      <c r="X115" s="3" t="s">
        <v>4</v>
      </c>
      <c r="Y115" s="3">
        <v>3</v>
      </c>
      <c r="Z115" s="3">
        <v>80</v>
      </c>
      <c r="AA115" s="3">
        <v>51</v>
      </c>
    </row>
    <row r="116" spans="24:27" x14ac:dyDescent="0.35">
      <c r="X116" s="3" t="s">
        <v>3</v>
      </c>
      <c r="Y116" s="3">
        <v>3</v>
      </c>
      <c r="Z116" s="3">
        <v>80</v>
      </c>
      <c r="AA116" s="3">
        <v>54</v>
      </c>
    </row>
    <row r="117" spans="24:27" x14ac:dyDescent="0.35">
      <c r="X117" s="3" t="s">
        <v>4</v>
      </c>
      <c r="Y117" s="3">
        <v>4</v>
      </c>
      <c r="Z117" s="3">
        <v>80</v>
      </c>
      <c r="AA117" s="3">
        <v>111</v>
      </c>
    </row>
    <row r="118" spans="24:27" x14ac:dyDescent="0.35">
      <c r="X118" s="3" t="s">
        <v>3</v>
      </c>
      <c r="Y118" s="3">
        <v>4</v>
      </c>
      <c r="Z118" s="3">
        <v>80</v>
      </c>
      <c r="AA118" s="3">
        <v>81</v>
      </c>
    </row>
    <row r="119" spans="24:27" x14ac:dyDescent="0.35">
      <c r="X119" s="3" t="s">
        <v>3</v>
      </c>
      <c r="Y119" s="3">
        <v>5</v>
      </c>
      <c r="Z119" s="3">
        <v>80</v>
      </c>
      <c r="AA119" s="3">
        <v>87</v>
      </c>
    </row>
    <row r="120" spans="24:27" x14ac:dyDescent="0.35">
      <c r="X120" s="3" t="s">
        <v>4</v>
      </c>
      <c r="Y120" s="3">
        <v>5</v>
      </c>
      <c r="Z120" s="3">
        <v>80</v>
      </c>
      <c r="AA120" s="3">
        <v>69</v>
      </c>
    </row>
    <row r="121" spans="24:27" x14ac:dyDescent="0.35">
      <c r="X121" s="3" t="s">
        <v>3</v>
      </c>
      <c r="Y121" s="3">
        <v>6</v>
      </c>
      <c r="Z121" s="3">
        <v>80</v>
      </c>
      <c r="AA121" s="3">
        <v>84</v>
      </c>
    </row>
    <row r="122" spans="24:27" x14ac:dyDescent="0.35">
      <c r="X122" s="3" t="s">
        <v>4</v>
      </c>
      <c r="Y122" s="3">
        <v>6</v>
      </c>
      <c r="Z122" s="3">
        <v>80</v>
      </c>
      <c r="AA122" s="3">
        <v>69</v>
      </c>
    </row>
    <row r="123" spans="24:27" x14ac:dyDescent="0.35">
      <c r="X123" s="3" t="s">
        <v>3</v>
      </c>
      <c r="Y123" s="3">
        <v>7</v>
      </c>
      <c r="Z123" s="3">
        <v>80</v>
      </c>
      <c r="AA123" s="3">
        <v>36</v>
      </c>
    </row>
    <row r="124" spans="24:27" x14ac:dyDescent="0.35">
      <c r="X124" s="3" t="s">
        <v>3</v>
      </c>
      <c r="Y124" s="3">
        <v>8</v>
      </c>
      <c r="Z124" s="3">
        <v>80</v>
      </c>
      <c r="AA124" s="3">
        <v>63</v>
      </c>
    </row>
    <row r="125" spans="24:27" x14ac:dyDescent="0.35">
      <c r="X125" s="3" t="s">
        <v>3</v>
      </c>
      <c r="Y125" s="3">
        <v>9</v>
      </c>
      <c r="Z125" s="3">
        <v>80</v>
      </c>
      <c r="AA125" s="3">
        <v>75</v>
      </c>
    </row>
    <row r="126" spans="24:27" x14ac:dyDescent="0.35">
      <c r="X126" s="3" t="s">
        <v>3</v>
      </c>
      <c r="Y126" s="3">
        <v>10</v>
      </c>
      <c r="Z126" s="3">
        <v>80</v>
      </c>
      <c r="AA126" s="3">
        <v>78</v>
      </c>
    </row>
    <row r="127" spans="24:27" x14ac:dyDescent="0.35">
      <c r="X127" s="3" t="s">
        <v>3</v>
      </c>
      <c r="Y127" s="3">
        <v>11</v>
      </c>
      <c r="Z127" s="3">
        <v>80</v>
      </c>
      <c r="AA127" s="3">
        <v>75</v>
      </c>
    </row>
    <row r="128" spans="24:27" x14ac:dyDescent="0.35">
      <c r="X128" s="3" t="s">
        <v>3</v>
      </c>
      <c r="Y128" s="3">
        <v>12</v>
      </c>
      <c r="Z128" s="3">
        <v>80</v>
      </c>
      <c r="AA128" s="3">
        <v>78</v>
      </c>
    </row>
    <row r="129" spans="24:27" x14ac:dyDescent="0.35">
      <c r="X129" s="3" t="s">
        <v>4</v>
      </c>
      <c r="Y129" s="3">
        <v>7</v>
      </c>
      <c r="Z129" s="3">
        <v>80</v>
      </c>
      <c r="AA129" s="3">
        <v>102</v>
      </c>
    </row>
    <row r="130" spans="24:27" x14ac:dyDescent="0.35">
      <c r="X130" s="3" t="s">
        <v>4</v>
      </c>
      <c r="Y130" s="3">
        <v>8</v>
      </c>
      <c r="Z130" s="3">
        <v>80</v>
      </c>
      <c r="AA130" s="3">
        <v>69</v>
      </c>
    </row>
    <row r="131" spans="24:27" x14ac:dyDescent="0.35">
      <c r="X131" s="3" t="s">
        <v>4</v>
      </c>
      <c r="Y131" s="3">
        <v>9</v>
      </c>
      <c r="Z131" s="3">
        <v>80</v>
      </c>
      <c r="AA131" s="3">
        <v>78</v>
      </c>
    </row>
    <row r="132" spans="24:27" x14ac:dyDescent="0.35">
      <c r="X132" s="3" t="s">
        <v>4</v>
      </c>
      <c r="Y132" s="3">
        <v>10</v>
      </c>
      <c r="Z132" s="3">
        <v>80</v>
      </c>
      <c r="AA132" s="3">
        <v>69</v>
      </c>
    </row>
    <row r="133" spans="24:27" x14ac:dyDescent="0.35">
      <c r="X133" s="3" t="s">
        <v>4</v>
      </c>
      <c r="Y133" s="3">
        <v>11</v>
      </c>
      <c r="Z133" s="3">
        <v>80</v>
      </c>
      <c r="AA133" s="3">
        <v>75</v>
      </c>
    </row>
    <row r="134" spans="24:27" x14ac:dyDescent="0.35">
      <c r="X134" s="3" t="s">
        <v>4</v>
      </c>
      <c r="Y134" s="3">
        <v>12</v>
      </c>
      <c r="Z134" s="3">
        <v>80</v>
      </c>
      <c r="AA134" s="3">
        <v>69</v>
      </c>
    </row>
    <row r="135" spans="24:27" x14ac:dyDescent="0.35">
      <c r="X135" s="3" t="s">
        <v>5</v>
      </c>
      <c r="Y135" s="3">
        <v>1</v>
      </c>
      <c r="Z135" s="3">
        <v>80</v>
      </c>
      <c r="AA135" s="3">
        <v>66</v>
      </c>
    </row>
    <row r="136" spans="24:27" x14ac:dyDescent="0.35">
      <c r="X136" s="3" t="s">
        <v>5</v>
      </c>
      <c r="Y136" s="3">
        <v>2</v>
      </c>
      <c r="Z136" s="3">
        <v>80</v>
      </c>
      <c r="AA136" s="3">
        <v>72</v>
      </c>
    </row>
    <row r="137" spans="24:27" x14ac:dyDescent="0.35">
      <c r="X137" s="3" t="s">
        <v>5</v>
      </c>
      <c r="Y137" s="3">
        <v>3</v>
      </c>
      <c r="Z137" s="3">
        <v>80</v>
      </c>
      <c r="AA137" s="3">
        <v>57</v>
      </c>
    </row>
    <row r="138" spans="24:27" x14ac:dyDescent="0.35">
      <c r="X138" s="3" t="s">
        <v>5</v>
      </c>
      <c r="Y138" s="3">
        <v>4</v>
      </c>
      <c r="Z138" s="3">
        <v>80</v>
      </c>
      <c r="AA138" s="3">
        <v>18</v>
      </c>
    </row>
    <row r="139" spans="24:27" x14ac:dyDescent="0.35">
      <c r="X139" s="3" t="s">
        <v>5</v>
      </c>
      <c r="Y139" s="3">
        <v>5</v>
      </c>
      <c r="Z139" s="3">
        <v>80</v>
      </c>
      <c r="AA139" s="3">
        <v>45</v>
      </c>
    </row>
    <row r="140" spans="24:27" x14ac:dyDescent="0.35">
      <c r="X140" s="3" t="s">
        <v>5</v>
      </c>
      <c r="Y140" s="3">
        <v>6</v>
      </c>
      <c r="Z140" s="3">
        <v>80</v>
      </c>
      <c r="AA140" s="3">
        <v>66</v>
      </c>
    </row>
    <row r="141" spans="24:27" x14ac:dyDescent="0.35">
      <c r="X141" s="3" t="s">
        <v>5</v>
      </c>
      <c r="Y141" s="3">
        <v>7</v>
      </c>
      <c r="Z141" s="3">
        <v>80</v>
      </c>
      <c r="AA141" s="3">
        <v>75</v>
      </c>
    </row>
    <row r="142" spans="24:27" x14ac:dyDescent="0.35">
      <c r="X142" s="3" t="s">
        <v>5</v>
      </c>
      <c r="Y142" s="3">
        <v>8</v>
      </c>
      <c r="Z142" s="3">
        <v>80</v>
      </c>
      <c r="AA142" s="3">
        <v>78</v>
      </c>
    </row>
    <row r="143" spans="24:27" x14ac:dyDescent="0.35">
      <c r="X143" s="3" t="s">
        <v>5</v>
      </c>
      <c r="Y143" s="3">
        <v>9</v>
      </c>
      <c r="Z143" s="3">
        <v>80</v>
      </c>
      <c r="AA143" s="3">
        <v>75</v>
      </c>
    </row>
    <row r="144" spans="24:27" x14ac:dyDescent="0.35">
      <c r="X144" s="3" t="s">
        <v>5</v>
      </c>
      <c r="Y144" s="3">
        <v>10</v>
      </c>
      <c r="Z144" s="3">
        <v>80</v>
      </c>
      <c r="AA144" s="3">
        <v>60</v>
      </c>
    </row>
    <row r="145" spans="24:27" x14ac:dyDescent="0.35">
      <c r="X145" s="3" t="s">
        <v>5</v>
      </c>
      <c r="Y145" s="3">
        <v>11</v>
      </c>
      <c r="Z145" s="3">
        <v>80</v>
      </c>
      <c r="AA145" s="3">
        <v>66</v>
      </c>
    </row>
    <row r="146" spans="24:27" x14ac:dyDescent="0.35">
      <c r="X146" s="3" t="s">
        <v>5</v>
      </c>
      <c r="Y146" s="3">
        <v>12</v>
      </c>
      <c r="Z146" s="3">
        <v>80</v>
      </c>
      <c r="AA146" s="3">
        <v>72</v>
      </c>
    </row>
    <row r="147" spans="24:27" x14ac:dyDescent="0.35">
      <c r="X147" s="3" t="s">
        <v>3</v>
      </c>
      <c r="Y147" s="3">
        <v>1</v>
      </c>
      <c r="Z147" s="3">
        <v>100</v>
      </c>
      <c r="AA147" s="3">
        <v>63</v>
      </c>
    </row>
    <row r="148" spans="24:27" x14ac:dyDescent="0.35">
      <c r="X148" s="3" t="s">
        <v>4</v>
      </c>
      <c r="Y148" s="3">
        <v>1</v>
      </c>
      <c r="Z148" s="3">
        <v>100</v>
      </c>
      <c r="AA148" s="3">
        <v>51</v>
      </c>
    </row>
    <row r="149" spans="24:27" x14ac:dyDescent="0.35">
      <c r="X149" s="3" t="s">
        <v>4</v>
      </c>
      <c r="Y149" s="3">
        <v>2</v>
      </c>
      <c r="Z149" s="3">
        <v>100</v>
      </c>
      <c r="AA149" s="3">
        <v>54</v>
      </c>
    </row>
    <row r="150" spans="24:27" x14ac:dyDescent="0.35">
      <c r="X150" s="3" t="s">
        <v>3</v>
      </c>
      <c r="Y150" s="3">
        <v>2</v>
      </c>
      <c r="Z150" s="3">
        <v>100</v>
      </c>
      <c r="AA150" s="3">
        <v>84</v>
      </c>
    </row>
    <row r="151" spans="24:27" x14ac:dyDescent="0.35">
      <c r="X151" s="3" t="s">
        <v>4</v>
      </c>
      <c r="Y151" s="3">
        <v>3</v>
      </c>
      <c r="Z151" s="3">
        <v>100</v>
      </c>
      <c r="AA151" s="3">
        <v>63</v>
      </c>
    </row>
    <row r="152" spans="24:27" x14ac:dyDescent="0.35">
      <c r="X152" s="3" t="s">
        <v>3</v>
      </c>
      <c r="Y152" s="3">
        <v>3</v>
      </c>
      <c r="Z152" s="3">
        <v>100</v>
      </c>
      <c r="AA152" s="3">
        <v>66</v>
      </c>
    </row>
    <row r="153" spans="24:27" x14ac:dyDescent="0.35">
      <c r="X153" s="3" t="s">
        <v>4</v>
      </c>
      <c r="Y153" s="3">
        <v>4</v>
      </c>
      <c r="Z153" s="3">
        <v>100</v>
      </c>
      <c r="AA153" s="3">
        <v>114</v>
      </c>
    </row>
    <row r="154" spans="24:27" x14ac:dyDescent="0.35">
      <c r="X154" s="3" t="s">
        <v>3</v>
      </c>
      <c r="Y154" s="3">
        <v>4</v>
      </c>
      <c r="Z154" s="3">
        <v>100</v>
      </c>
      <c r="AA154" s="3">
        <v>72</v>
      </c>
    </row>
    <row r="155" spans="24:27" x14ac:dyDescent="0.35">
      <c r="X155" s="3" t="s">
        <v>3</v>
      </c>
      <c r="Y155" s="3">
        <v>5</v>
      </c>
      <c r="Z155" s="3">
        <v>100</v>
      </c>
      <c r="AA155" s="3">
        <v>69</v>
      </c>
    </row>
    <row r="156" spans="24:27" x14ac:dyDescent="0.35">
      <c r="X156" s="3" t="s">
        <v>4</v>
      </c>
      <c r="Y156" s="3">
        <v>5</v>
      </c>
      <c r="Z156" s="3">
        <v>100</v>
      </c>
      <c r="AA156" s="3">
        <v>60</v>
      </c>
    </row>
    <row r="157" spans="24:27" x14ac:dyDescent="0.35">
      <c r="X157" s="3" t="s">
        <v>3</v>
      </c>
      <c r="Y157" s="3">
        <v>6</v>
      </c>
      <c r="Z157" s="3">
        <v>100</v>
      </c>
      <c r="AA157" s="3">
        <v>93</v>
      </c>
    </row>
    <row r="158" spans="24:27" x14ac:dyDescent="0.35">
      <c r="X158" s="3" t="s">
        <v>4</v>
      </c>
      <c r="Y158" s="3">
        <v>6</v>
      </c>
      <c r="Z158" s="3">
        <v>100</v>
      </c>
      <c r="AA158" s="3">
        <v>66</v>
      </c>
    </row>
    <row r="159" spans="24:27" x14ac:dyDescent="0.35">
      <c r="X159" s="3" t="s">
        <v>3</v>
      </c>
      <c r="Y159" s="3">
        <v>7</v>
      </c>
      <c r="Z159" s="3">
        <v>100</v>
      </c>
      <c r="AA159" s="3">
        <v>57</v>
      </c>
    </row>
    <row r="160" spans="24:27" x14ac:dyDescent="0.35">
      <c r="X160" s="3" t="s">
        <v>3</v>
      </c>
      <c r="Y160" s="3">
        <v>8</v>
      </c>
      <c r="Z160" s="3">
        <v>100</v>
      </c>
      <c r="AA160" s="3">
        <v>60</v>
      </c>
    </row>
    <row r="161" spans="24:27" x14ac:dyDescent="0.35">
      <c r="X161" s="3" t="s">
        <v>3</v>
      </c>
      <c r="Y161" s="3">
        <v>9</v>
      </c>
      <c r="Z161" s="3">
        <v>100</v>
      </c>
      <c r="AA161" s="3">
        <v>87</v>
      </c>
    </row>
    <row r="162" spans="24:27" x14ac:dyDescent="0.35">
      <c r="X162" s="3" t="s">
        <v>3</v>
      </c>
      <c r="Y162" s="3">
        <v>10</v>
      </c>
      <c r="Z162" s="3">
        <v>100</v>
      </c>
      <c r="AA162" s="3">
        <v>99</v>
      </c>
    </row>
    <row r="163" spans="24:27" x14ac:dyDescent="0.35">
      <c r="X163" s="3" t="s">
        <v>3</v>
      </c>
      <c r="Y163" s="3">
        <v>11</v>
      </c>
      <c r="Z163" s="3">
        <v>100</v>
      </c>
      <c r="AA163" s="3">
        <v>75</v>
      </c>
    </row>
    <row r="164" spans="24:27" x14ac:dyDescent="0.35">
      <c r="X164" s="3" t="s">
        <v>3</v>
      </c>
      <c r="Y164" s="3">
        <v>12</v>
      </c>
      <c r="Z164" s="3">
        <v>100</v>
      </c>
      <c r="AA164" s="3">
        <v>78</v>
      </c>
    </row>
    <row r="165" spans="24:27" x14ac:dyDescent="0.35">
      <c r="X165" s="3" t="s">
        <v>4</v>
      </c>
      <c r="Y165" s="3">
        <v>7</v>
      </c>
      <c r="Z165" s="3">
        <v>100</v>
      </c>
      <c r="AA165" s="3">
        <v>90</v>
      </c>
    </row>
    <row r="166" spans="24:27" x14ac:dyDescent="0.35">
      <c r="X166" s="3" t="s">
        <v>4</v>
      </c>
      <c r="Y166" s="3">
        <v>8</v>
      </c>
      <c r="Z166" s="3">
        <v>100</v>
      </c>
      <c r="AA166" s="3">
        <v>99</v>
      </c>
    </row>
    <row r="167" spans="24:27" x14ac:dyDescent="0.35">
      <c r="X167" s="3" t="s">
        <v>4</v>
      </c>
      <c r="Y167" s="3">
        <v>9</v>
      </c>
      <c r="Z167" s="3">
        <v>100</v>
      </c>
      <c r="AA167" s="3">
        <v>93</v>
      </c>
    </row>
    <row r="168" spans="24:27" x14ac:dyDescent="0.35">
      <c r="X168" s="3" t="s">
        <v>4</v>
      </c>
      <c r="Y168" s="3">
        <v>10</v>
      </c>
      <c r="Z168" s="3">
        <v>100</v>
      </c>
      <c r="AA168" s="3">
        <v>72</v>
      </c>
    </row>
    <row r="169" spans="24:27" x14ac:dyDescent="0.35">
      <c r="X169" s="3" t="s">
        <v>4</v>
      </c>
      <c r="Y169" s="3">
        <v>11</v>
      </c>
      <c r="Z169" s="3">
        <v>100</v>
      </c>
      <c r="AA169" s="3">
        <v>93</v>
      </c>
    </row>
    <row r="170" spans="24:27" x14ac:dyDescent="0.35">
      <c r="X170" s="3" t="s">
        <v>4</v>
      </c>
      <c r="Y170" s="3">
        <v>12</v>
      </c>
      <c r="Z170" s="3">
        <v>100</v>
      </c>
      <c r="AA170" s="3">
        <v>69</v>
      </c>
    </row>
    <row r="171" spans="24:27" x14ac:dyDescent="0.35">
      <c r="X171" s="3" t="s">
        <v>5</v>
      </c>
      <c r="Y171" s="3">
        <v>1</v>
      </c>
      <c r="Z171" s="3">
        <v>100</v>
      </c>
      <c r="AA171" s="3">
        <v>78</v>
      </c>
    </row>
    <row r="172" spans="24:27" x14ac:dyDescent="0.35">
      <c r="X172" s="3" t="s">
        <v>5</v>
      </c>
      <c r="Y172" s="3">
        <v>2</v>
      </c>
      <c r="Z172" s="3">
        <v>100</v>
      </c>
      <c r="AA172" s="3">
        <v>72</v>
      </c>
    </row>
    <row r="173" spans="24:27" x14ac:dyDescent="0.35">
      <c r="X173" s="3" t="s">
        <v>5</v>
      </c>
      <c r="Y173" s="3">
        <v>3</v>
      </c>
      <c r="Z173" s="3">
        <v>100</v>
      </c>
      <c r="AA173" s="3">
        <v>54</v>
      </c>
    </row>
    <row r="174" spans="24:27" x14ac:dyDescent="0.35">
      <c r="X174" s="3" t="s">
        <v>5</v>
      </c>
      <c r="Y174" s="3">
        <v>4</v>
      </c>
      <c r="Z174" s="3">
        <v>100</v>
      </c>
      <c r="AA174" s="3">
        <v>45</v>
      </c>
    </row>
    <row r="175" spans="24:27" x14ac:dyDescent="0.35">
      <c r="X175" s="3" t="s">
        <v>5</v>
      </c>
      <c r="Y175" s="3">
        <v>5</v>
      </c>
      <c r="Z175" s="3">
        <v>100</v>
      </c>
      <c r="AA175" s="3">
        <v>75</v>
      </c>
    </row>
    <row r="176" spans="24:27" x14ac:dyDescent="0.35">
      <c r="X176" s="3" t="s">
        <v>5</v>
      </c>
      <c r="Y176" s="3">
        <v>6</v>
      </c>
      <c r="Z176" s="3">
        <v>100</v>
      </c>
      <c r="AA176" s="3">
        <v>81</v>
      </c>
    </row>
    <row r="177" spans="24:31" x14ac:dyDescent="0.35">
      <c r="X177" s="3" t="s">
        <v>5</v>
      </c>
      <c r="Y177" s="3">
        <v>7</v>
      </c>
      <c r="Z177" s="3">
        <v>100</v>
      </c>
      <c r="AA177" s="3">
        <v>72</v>
      </c>
    </row>
    <row r="178" spans="24:31" x14ac:dyDescent="0.35">
      <c r="X178" s="3" t="s">
        <v>5</v>
      </c>
      <c r="Y178" s="3">
        <v>8</v>
      </c>
      <c r="Z178" s="3">
        <v>100</v>
      </c>
      <c r="AA178" s="3">
        <v>69</v>
      </c>
    </row>
    <row r="179" spans="24:31" x14ac:dyDescent="0.35">
      <c r="X179" s="3" t="s">
        <v>5</v>
      </c>
      <c r="Y179" s="3">
        <v>9</v>
      </c>
      <c r="Z179" s="3">
        <v>100</v>
      </c>
      <c r="AA179" s="3">
        <v>84</v>
      </c>
    </row>
    <row r="180" spans="24:31" x14ac:dyDescent="0.35">
      <c r="X180" s="3" t="s">
        <v>5</v>
      </c>
      <c r="Y180" s="3">
        <v>10</v>
      </c>
      <c r="Z180" s="3">
        <v>100</v>
      </c>
      <c r="AA180" s="3">
        <v>114</v>
      </c>
    </row>
    <row r="181" spans="24:31" x14ac:dyDescent="0.35">
      <c r="X181" s="3" t="s">
        <v>5</v>
      </c>
      <c r="Y181" s="3">
        <v>11</v>
      </c>
      <c r="Z181" s="3">
        <v>100</v>
      </c>
      <c r="AA181" s="3">
        <v>75</v>
      </c>
    </row>
    <row r="182" spans="24:31" x14ac:dyDescent="0.35">
      <c r="X182" s="3" t="s">
        <v>5</v>
      </c>
      <c r="Y182" s="3">
        <v>12</v>
      </c>
      <c r="Z182" s="3">
        <v>100</v>
      </c>
      <c r="AA182" s="3">
        <v>90</v>
      </c>
    </row>
    <row r="183" spans="24:31" x14ac:dyDescent="0.35">
      <c r="X183" s="3" t="s">
        <v>3</v>
      </c>
      <c r="Y183" s="3">
        <v>1</v>
      </c>
      <c r="Z183" s="3">
        <v>120</v>
      </c>
      <c r="AA183" s="3">
        <v>81</v>
      </c>
    </row>
    <row r="184" spans="24:31" x14ac:dyDescent="0.35">
      <c r="X184" s="3" t="s">
        <v>4</v>
      </c>
      <c r="Y184" s="3">
        <v>1</v>
      </c>
      <c r="Z184" s="3">
        <v>120</v>
      </c>
      <c r="AA184" s="3">
        <v>54</v>
      </c>
    </row>
    <row r="185" spans="24:31" x14ac:dyDescent="0.35">
      <c r="X185" s="3" t="s">
        <v>4</v>
      </c>
      <c r="Y185" s="3">
        <v>2</v>
      </c>
      <c r="Z185" s="3">
        <v>120</v>
      </c>
      <c r="AA185" s="3">
        <v>57</v>
      </c>
    </row>
    <row r="186" spans="24:31" x14ac:dyDescent="0.35">
      <c r="X186" s="3" t="s">
        <v>3</v>
      </c>
      <c r="Y186" s="3">
        <v>2</v>
      </c>
      <c r="Z186" s="3">
        <v>120</v>
      </c>
      <c r="AA186" s="3">
        <v>72</v>
      </c>
      <c r="AE186" s="3"/>
    </row>
    <row r="187" spans="24:31" x14ac:dyDescent="0.35">
      <c r="X187" s="3" t="s">
        <v>4</v>
      </c>
      <c r="Y187" s="3">
        <v>3</v>
      </c>
      <c r="Z187" s="3">
        <v>120</v>
      </c>
      <c r="AA187" s="3">
        <v>60</v>
      </c>
      <c r="AE187" s="3"/>
    </row>
    <row r="188" spans="24:31" x14ac:dyDescent="0.35">
      <c r="X188" s="3" t="s">
        <v>3</v>
      </c>
      <c r="Y188" s="3">
        <v>3</v>
      </c>
      <c r="Z188" s="3">
        <v>120</v>
      </c>
      <c r="AA188" s="3">
        <v>72</v>
      </c>
      <c r="AE188" s="3"/>
    </row>
    <row r="189" spans="24:31" x14ac:dyDescent="0.35">
      <c r="X189" s="3" t="s">
        <v>4</v>
      </c>
      <c r="Y189" s="3">
        <v>4</v>
      </c>
      <c r="Z189" s="3">
        <v>120</v>
      </c>
      <c r="AA189" s="3">
        <v>111</v>
      </c>
      <c r="AE189" s="3"/>
    </row>
    <row r="190" spans="24:31" x14ac:dyDescent="0.35">
      <c r="X190" s="3" t="s">
        <v>3</v>
      </c>
      <c r="Y190" s="3">
        <v>4</v>
      </c>
      <c r="Z190" s="3">
        <v>120</v>
      </c>
      <c r="AA190" s="3">
        <v>87</v>
      </c>
      <c r="AE190" s="3"/>
    </row>
    <row r="191" spans="24:31" x14ac:dyDescent="0.35">
      <c r="X191" s="3" t="s">
        <v>3</v>
      </c>
      <c r="Y191" s="3">
        <v>5</v>
      </c>
      <c r="Z191" s="3">
        <v>120</v>
      </c>
      <c r="AA191" s="3">
        <v>96</v>
      </c>
      <c r="AE191" s="3"/>
    </row>
    <row r="192" spans="24:31" x14ac:dyDescent="0.35">
      <c r="X192" s="3" t="s">
        <v>4</v>
      </c>
      <c r="Y192" s="3">
        <v>5</v>
      </c>
      <c r="Z192" s="3">
        <v>120</v>
      </c>
      <c r="AA192" s="3">
        <v>75</v>
      </c>
      <c r="AE192" s="3"/>
    </row>
    <row r="193" spans="24:31" x14ac:dyDescent="0.35">
      <c r="X193" s="3" t="s">
        <v>3</v>
      </c>
      <c r="Y193" s="3">
        <v>6</v>
      </c>
      <c r="Z193" s="3">
        <v>120</v>
      </c>
      <c r="AA193" s="3">
        <v>90</v>
      </c>
      <c r="AE193" s="3"/>
    </row>
    <row r="194" spans="24:31" x14ac:dyDescent="0.35">
      <c r="X194" s="3" t="s">
        <v>4</v>
      </c>
      <c r="Y194" s="3">
        <v>6</v>
      </c>
      <c r="Z194" s="3">
        <v>120</v>
      </c>
      <c r="AA194" s="3">
        <v>75</v>
      </c>
      <c r="AE194" s="3"/>
    </row>
    <row r="195" spans="24:31" x14ac:dyDescent="0.35">
      <c r="X195" s="3" t="s">
        <v>3</v>
      </c>
      <c r="Y195" s="3">
        <v>7</v>
      </c>
      <c r="Z195" s="3">
        <v>120</v>
      </c>
      <c r="AA195" s="3">
        <v>72</v>
      </c>
    </row>
    <row r="196" spans="24:31" x14ac:dyDescent="0.35">
      <c r="X196" s="3" t="s">
        <v>3</v>
      </c>
      <c r="Y196" s="3">
        <v>8</v>
      </c>
      <c r="Z196" s="3">
        <v>120</v>
      </c>
      <c r="AA196" s="3">
        <v>66</v>
      </c>
    </row>
    <row r="197" spans="24:31" x14ac:dyDescent="0.35">
      <c r="X197" s="3" t="s">
        <v>3</v>
      </c>
      <c r="Y197" s="3">
        <v>9</v>
      </c>
      <c r="Z197" s="3">
        <v>120</v>
      </c>
      <c r="AA197" s="3">
        <v>81</v>
      </c>
    </row>
    <row r="198" spans="24:31" x14ac:dyDescent="0.35">
      <c r="X198" s="3" t="s">
        <v>3</v>
      </c>
      <c r="Y198" s="3">
        <v>10</v>
      </c>
      <c r="Z198" s="3">
        <v>120</v>
      </c>
      <c r="AA198" s="3">
        <v>78</v>
      </c>
    </row>
    <row r="199" spans="24:31" x14ac:dyDescent="0.35">
      <c r="X199" s="3" t="s">
        <v>3</v>
      </c>
      <c r="Y199" s="3">
        <v>11</v>
      </c>
      <c r="Z199" s="3">
        <v>120</v>
      </c>
      <c r="AA199" s="3">
        <v>75</v>
      </c>
    </row>
    <row r="200" spans="24:31" x14ac:dyDescent="0.35">
      <c r="X200" s="3" t="s">
        <v>3</v>
      </c>
      <c r="Y200" s="3">
        <v>12</v>
      </c>
      <c r="Z200" s="3">
        <v>120</v>
      </c>
      <c r="AA200" s="3">
        <v>78</v>
      </c>
    </row>
    <row r="201" spans="24:31" x14ac:dyDescent="0.35">
      <c r="X201" s="3" t="s">
        <v>4</v>
      </c>
      <c r="Y201" s="3">
        <v>7</v>
      </c>
      <c r="Z201" s="3">
        <v>120</v>
      </c>
      <c r="AA201" s="3">
        <v>99</v>
      </c>
    </row>
    <row r="202" spans="24:31" x14ac:dyDescent="0.35">
      <c r="X202" s="3" t="s">
        <v>4</v>
      </c>
      <c r="Y202" s="3">
        <v>8</v>
      </c>
      <c r="Z202" s="3">
        <v>120</v>
      </c>
      <c r="AA202" s="3">
        <v>102</v>
      </c>
    </row>
    <row r="203" spans="24:31" x14ac:dyDescent="0.35">
      <c r="X203" s="3" t="s">
        <v>4</v>
      </c>
      <c r="Y203" s="3">
        <v>9</v>
      </c>
      <c r="Z203" s="3">
        <v>120</v>
      </c>
      <c r="AA203" s="3">
        <v>57</v>
      </c>
    </row>
    <row r="204" spans="24:31" x14ac:dyDescent="0.35">
      <c r="X204" s="3" t="s">
        <v>4</v>
      </c>
      <c r="Y204" s="3">
        <v>10</v>
      </c>
      <c r="Z204" s="3">
        <v>120</v>
      </c>
      <c r="AA204" s="3">
        <v>72</v>
      </c>
    </row>
    <row r="205" spans="24:31" x14ac:dyDescent="0.35">
      <c r="X205" s="3" t="s">
        <v>4</v>
      </c>
      <c r="Y205" s="3">
        <v>11</v>
      </c>
      <c r="Z205" s="3">
        <v>120</v>
      </c>
      <c r="AA205" s="3">
        <v>84</v>
      </c>
    </row>
    <row r="206" spans="24:31" x14ac:dyDescent="0.35">
      <c r="X206" s="3" t="s">
        <v>4</v>
      </c>
      <c r="Y206" s="3">
        <v>12</v>
      </c>
      <c r="Z206" s="3">
        <v>120</v>
      </c>
      <c r="AA206" s="3">
        <v>69</v>
      </c>
    </row>
    <row r="207" spans="24:31" x14ac:dyDescent="0.35">
      <c r="X207" s="3" t="s">
        <v>5</v>
      </c>
      <c r="Y207" s="3">
        <v>1</v>
      </c>
      <c r="Z207" s="3">
        <v>120</v>
      </c>
      <c r="AA207" s="3">
        <v>81</v>
      </c>
    </row>
    <row r="208" spans="24:31" x14ac:dyDescent="0.35">
      <c r="X208" s="3" t="s">
        <v>5</v>
      </c>
      <c r="Y208" s="3">
        <v>2</v>
      </c>
      <c r="Z208" s="3">
        <v>120</v>
      </c>
      <c r="AA208" s="3">
        <v>72</v>
      </c>
    </row>
    <row r="209" spans="24:30" x14ac:dyDescent="0.35">
      <c r="X209" s="3" t="s">
        <v>5</v>
      </c>
      <c r="Y209" s="3">
        <v>3</v>
      </c>
      <c r="Z209" s="3">
        <v>120</v>
      </c>
      <c r="AA209" s="3">
        <v>69</v>
      </c>
    </row>
    <row r="210" spans="24:30" x14ac:dyDescent="0.35">
      <c r="X210" s="3" t="s">
        <v>5</v>
      </c>
      <c r="Y210" s="3">
        <v>4</v>
      </c>
      <c r="Z210" s="3">
        <v>120</v>
      </c>
      <c r="AA210" s="3">
        <v>42</v>
      </c>
    </row>
    <row r="211" spans="24:30" x14ac:dyDescent="0.35">
      <c r="X211" s="3" t="s">
        <v>5</v>
      </c>
      <c r="Y211" s="3">
        <v>5</v>
      </c>
      <c r="Z211" s="3">
        <v>120</v>
      </c>
      <c r="AA211" s="3">
        <v>60</v>
      </c>
    </row>
    <row r="212" spans="24:30" x14ac:dyDescent="0.35">
      <c r="X212" s="3" t="s">
        <v>5</v>
      </c>
      <c r="Y212" s="3">
        <v>6</v>
      </c>
      <c r="Z212" s="3">
        <v>120</v>
      </c>
      <c r="AA212" s="3">
        <v>84</v>
      </c>
    </row>
    <row r="213" spans="24:30" x14ac:dyDescent="0.35">
      <c r="X213" s="3" t="s">
        <v>5</v>
      </c>
      <c r="Y213" s="3">
        <v>7</v>
      </c>
      <c r="Z213" s="3">
        <v>120</v>
      </c>
      <c r="AA213" s="3">
        <v>69</v>
      </c>
    </row>
    <row r="214" spans="24:30" x14ac:dyDescent="0.35">
      <c r="X214" s="3" t="s">
        <v>5</v>
      </c>
      <c r="Y214" s="3">
        <v>8</v>
      </c>
      <c r="Z214" s="3">
        <v>120</v>
      </c>
      <c r="AA214" s="3">
        <v>73.5</v>
      </c>
    </row>
    <row r="215" spans="24:30" x14ac:dyDescent="0.35">
      <c r="X215" s="3" t="s">
        <v>5</v>
      </c>
      <c r="Y215" s="3">
        <v>9</v>
      </c>
      <c r="Z215" s="3">
        <v>120</v>
      </c>
      <c r="AA215" s="3">
        <v>69</v>
      </c>
    </row>
    <row r="216" spans="24:30" x14ac:dyDescent="0.35">
      <c r="X216" s="3" t="s">
        <v>5</v>
      </c>
      <c r="Y216" s="3">
        <v>10</v>
      </c>
      <c r="Z216" s="3">
        <v>120</v>
      </c>
      <c r="AA216" s="3">
        <v>111</v>
      </c>
    </row>
    <row r="217" spans="24:30" x14ac:dyDescent="0.35">
      <c r="X217" s="3" t="s">
        <v>5</v>
      </c>
      <c r="Y217" s="3">
        <v>11</v>
      </c>
      <c r="Z217" s="3">
        <v>120</v>
      </c>
      <c r="AA217" s="3">
        <v>70.5</v>
      </c>
    </row>
    <row r="218" spans="24:30" x14ac:dyDescent="0.35">
      <c r="X218" s="3" t="s">
        <v>5</v>
      </c>
      <c r="Y218" s="3">
        <v>12</v>
      </c>
      <c r="Z218" s="3">
        <v>120</v>
      </c>
      <c r="AA218" s="3">
        <v>66</v>
      </c>
    </row>
    <row r="219" spans="24:30" x14ac:dyDescent="0.35">
      <c r="X219" s="3" t="s">
        <v>3</v>
      </c>
      <c r="Y219" s="3">
        <v>1</v>
      </c>
      <c r="Z219" s="3">
        <v>140</v>
      </c>
      <c r="AA219" s="3">
        <v>57</v>
      </c>
    </row>
    <row r="220" spans="24:30" x14ac:dyDescent="0.35">
      <c r="X220" s="3" t="s">
        <v>4</v>
      </c>
      <c r="Y220" s="3">
        <v>1</v>
      </c>
      <c r="Z220" s="3">
        <v>140</v>
      </c>
      <c r="AA220" s="3">
        <v>54</v>
      </c>
    </row>
    <row r="221" spans="24:30" x14ac:dyDescent="0.35">
      <c r="X221" s="3" t="s">
        <v>4</v>
      </c>
      <c r="Y221" s="3">
        <v>2</v>
      </c>
      <c r="Z221" s="3">
        <v>140</v>
      </c>
      <c r="AA221" s="3">
        <v>48</v>
      </c>
      <c r="AD221" s="3"/>
    </row>
    <row r="222" spans="24:30" x14ac:dyDescent="0.35">
      <c r="X222" s="3" t="s">
        <v>3</v>
      </c>
      <c r="Y222" s="3">
        <v>2</v>
      </c>
      <c r="Z222" s="3">
        <v>140</v>
      </c>
      <c r="AA222" s="3">
        <v>87</v>
      </c>
    </row>
    <row r="223" spans="24:30" x14ac:dyDescent="0.35">
      <c r="X223" s="3" t="s">
        <v>4</v>
      </c>
      <c r="Y223" s="3">
        <v>3</v>
      </c>
      <c r="Z223" s="3">
        <v>140</v>
      </c>
      <c r="AA223" s="3">
        <v>54</v>
      </c>
    </row>
    <row r="224" spans="24:30" x14ac:dyDescent="0.35">
      <c r="X224" s="3" t="s">
        <v>3</v>
      </c>
      <c r="Y224" s="3">
        <v>3</v>
      </c>
      <c r="Z224" s="3">
        <v>140</v>
      </c>
      <c r="AA224" s="3">
        <v>54</v>
      </c>
    </row>
    <row r="225" spans="24:27" x14ac:dyDescent="0.35">
      <c r="X225" s="3" t="s">
        <v>4</v>
      </c>
      <c r="Y225" s="3">
        <v>4</v>
      </c>
      <c r="Z225" s="3">
        <v>140</v>
      </c>
      <c r="AA225" s="3">
        <v>72</v>
      </c>
    </row>
    <row r="226" spans="24:27" x14ac:dyDescent="0.35">
      <c r="X226" s="3" t="s">
        <v>3</v>
      </c>
      <c r="Y226" s="3">
        <v>4</v>
      </c>
      <c r="Z226" s="3">
        <v>140</v>
      </c>
      <c r="AA226" s="3">
        <v>75</v>
      </c>
    </row>
    <row r="227" spans="24:27" x14ac:dyDescent="0.35">
      <c r="X227" s="3" t="s">
        <v>3</v>
      </c>
      <c r="Y227" s="3">
        <v>5</v>
      </c>
      <c r="Z227" s="3">
        <v>140</v>
      </c>
      <c r="AA227" s="3">
        <v>96</v>
      </c>
    </row>
    <row r="228" spans="24:27" x14ac:dyDescent="0.35">
      <c r="X228" s="3" t="s">
        <v>4</v>
      </c>
      <c r="Y228" s="3">
        <v>5</v>
      </c>
      <c r="Z228" s="3">
        <v>140</v>
      </c>
      <c r="AA228" s="3">
        <v>81</v>
      </c>
    </row>
    <row r="229" spans="24:27" x14ac:dyDescent="0.35">
      <c r="X229" s="3" t="s">
        <v>3</v>
      </c>
      <c r="Y229" s="3">
        <v>6</v>
      </c>
      <c r="Z229" s="3">
        <v>140</v>
      </c>
      <c r="AA229" s="3">
        <v>81</v>
      </c>
    </row>
    <row r="230" spans="24:27" x14ac:dyDescent="0.35">
      <c r="X230" s="3" t="s">
        <v>4</v>
      </c>
      <c r="Y230" s="3">
        <v>6</v>
      </c>
      <c r="Z230" s="3">
        <v>140</v>
      </c>
      <c r="AA230" s="3">
        <v>66</v>
      </c>
    </row>
    <row r="231" spans="24:27" x14ac:dyDescent="0.35">
      <c r="X231" s="3" t="s">
        <v>3</v>
      </c>
      <c r="Y231" s="3">
        <v>7</v>
      </c>
      <c r="Z231" s="3">
        <v>140</v>
      </c>
      <c r="AA231" s="3">
        <v>78</v>
      </c>
    </row>
    <row r="232" spans="24:27" x14ac:dyDescent="0.35">
      <c r="X232" s="3" t="s">
        <v>3</v>
      </c>
      <c r="Y232" s="3">
        <v>8</v>
      </c>
      <c r="Z232" s="3">
        <v>140</v>
      </c>
      <c r="AA232" s="3">
        <v>42</v>
      </c>
    </row>
    <row r="233" spans="24:27" x14ac:dyDescent="0.35">
      <c r="X233" s="3" t="s">
        <v>3</v>
      </c>
      <c r="Y233" s="3">
        <v>9</v>
      </c>
      <c r="Z233" s="3">
        <v>140</v>
      </c>
      <c r="AA233" s="3">
        <v>84</v>
      </c>
    </row>
    <row r="234" spans="24:27" x14ac:dyDescent="0.35">
      <c r="X234" s="3" t="s">
        <v>3</v>
      </c>
      <c r="Y234" s="3">
        <v>10</v>
      </c>
      <c r="Z234" s="3">
        <v>140</v>
      </c>
      <c r="AA234" s="3">
        <v>88.5</v>
      </c>
    </row>
    <row r="235" spans="24:27" x14ac:dyDescent="0.35">
      <c r="X235" s="3" t="s">
        <v>3</v>
      </c>
      <c r="Y235" s="3">
        <v>11</v>
      </c>
      <c r="Z235" s="3">
        <v>140</v>
      </c>
      <c r="AA235" s="3">
        <v>75</v>
      </c>
    </row>
    <row r="236" spans="24:27" x14ac:dyDescent="0.35">
      <c r="X236" s="3" t="s">
        <v>3</v>
      </c>
      <c r="Y236" s="3">
        <v>12</v>
      </c>
      <c r="Z236" s="3">
        <v>140</v>
      </c>
      <c r="AA236" s="3">
        <v>78</v>
      </c>
    </row>
    <row r="237" spans="24:27" x14ac:dyDescent="0.35">
      <c r="X237" s="3" t="s">
        <v>4</v>
      </c>
      <c r="Y237" s="3">
        <v>7</v>
      </c>
      <c r="Z237" s="3">
        <v>140</v>
      </c>
      <c r="AA237" s="3">
        <v>94.5</v>
      </c>
    </row>
    <row r="238" spans="24:27" x14ac:dyDescent="0.35">
      <c r="X238" s="3" t="s">
        <v>4</v>
      </c>
      <c r="Y238" s="3">
        <v>8</v>
      </c>
      <c r="Z238" s="3">
        <v>140</v>
      </c>
      <c r="AA238" s="3">
        <v>93</v>
      </c>
    </row>
    <row r="239" spans="24:27" x14ac:dyDescent="0.35">
      <c r="X239" s="3" t="s">
        <v>4</v>
      </c>
      <c r="Y239" s="3">
        <v>9</v>
      </c>
      <c r="Z239" s="3">
        <v>140</v>
      </c>
      <c r="AA239" s="3">
        <v>75</v>
      </c>
    </row>
    <row r="240" spans="24:27" x14ac:dyDescent="0.35">
      <c r="X240" s="3" t="s">
        <v>4</v>
      </c>
      <c r="Y240" s="3">
        <v>10</v>
      </c>
      <c r="Z240" s="3">
        <v>140</v>
      </c>
      <c r="AA240" s="3">
        <v>63</v>
      </c>
    </row>
    <row r="241" spans="24:27" x14ac:dyDescent="0.35">
      <c r="X241" s="3" t="s">
        <v>4</v>
      </c>
      <c r="Y241" s="3">
        <v>11</v>
      </c>
      <c r="Z241" s="3">
        <v>140</v>
      </c>
      <c r="AA241" s="3">
        <v>88.5</v>
      </c>
    </row>
    <row r="242" spans="24:27" x14ac:dyDescent="0.35">
      <c r="X242" s="3" t="s">
        <v>4</v>
      </c>
      <c r="Y242" s="3">
        <v>12</v>
      </c>
      <c r="Z242" s="3">
        <v>140</v>
      </c>
      <c r="AA242" s="3">
        <v>69</v>
      </c>
    </row>
    <row r="243" spans="24:27" x14ac:dyDescent="0.35">
      <c r="X243" s="3" t="s">
        <v>5</v>
      </c>
      <c r="Y243" s="3">
        <v>1</v>
      </c>
      <c r="Z243" s="3">
        <v>140</v>
      </c>
      <c r="AA243" s="3">
        <v>66</v>
      </c>
    </row>
    <row r="244" spans="24:27" x14ac:dyDescent="0.35">
      <c r="X244" s="3" t="s">
        <v>5</v>
      </c>
      <c r="Y244" s="3">
        <v>2</v>
      </c>
      <c r="Z244" s="3">
        <v>140</v>
      </c>
      <c r="AA244" s="3">
        <v>72</v>
      </c>
    </row>
    <row r="245" spans="24:27" x14ac:dyDescent="0.35">
      <c r="X245" s="3" t="s">
        <v>5</v>
      </c>
      <c r="Y245" s="3">
        <v>3</v>
      </c>
      <c r="Z245" s="3">
        <v>140</v>
      </c>
      <c r="AA245" s="3">
        <v>63</v>
      </c>
    </row>
    <row r="246" spans="24:27" x14ac:dyDescent="0.35">
      <c r="X246" s="3" t="s">
        <v>5</v>
      </c>
      <c r="Y246" s="3">
        <v>4</v>
      </c>
      <c r="Z246" s="3">
        <v>140</v>
      </c>
      <c r="AA246" s="3">
        <v>51</v>
      </c>
    </row>
    <row r="247" spans="24:27" x14ac:dyDescent="0.35">
      <c r="X247" s="3" t="s">
        <v>5</v>
      </c>
      <c r="Y247" s="3">
        <v>5</v>
      </c>
      <c r="Z247" s="3">
        <v>140</v>
      </c>
      <c r="AA247" s="3">
        <v>67.5</v>
      </c>
    </row>
    <row r="248" spans="24:27" x14ac:dyDescent="0.35">
      <c r="X248" s="3" t="s">
        <v>5</v>
      </c>
      <c r="Y248" s="3">
        <v>6</v>
      </c>
      <c r="Z248" s="3">
        <v>140</v>
      </c>
      <c r="AA248" s="3">
        <v>82.5</v>
      </c>
    </row>
    <row r="249" spans="24:27" x14ac:dyDescent="0.35">
      <c r="X249" s="3" t="s">
        <v>5</v>
      </c>
      <c r="Y249" s="3">
        <v>7</v>
      </c>
      <c r="Z249" s="3">
        <v>140</v>
      </c>
      <c r="AA249" s="3">
        <v>70.5</v>
      </c>
    </row>
    <row r="250" spans="24:27" x14ac:dyDescent="0.35">
      <c r="X250" s="3" t="s">
        <v>5</v>
      </c>
      <c r="Y250" s="3">
        <v>8</v>
      </c>
      <c r="Z250" s="3">
        <v>140</v>
      </c>
      <c r="AA250" s="3">
        <v>71.25</v>
      </c>
    </row>
    <row r="251" spans="24:27" x14ac:dyDescent="0.35">
      <c r="X251" s="3" t="s">
        <v>5</v>
      </c>
      <c r="Y251" s="3">
        <v>9</v>
      </c>
      <c r="Z251" s="3">
        <v>140</v>
      </c>
      <c r="AA251" s="3">
        <v>76.5</v>
      </c>
    </row>
    <row r="252" spans="24:27" x14ac:dyDescent="0.35">
      <c r="X252" s="3" t="s">
        <v>5</v>
      </c>
      <c r="Y252" s="3">
        <v>10</v>
      </c>
      <c r="Z252" s="3">
        <v>140</v>
      </c>
      <c r="AA252" s="3">
        <v>93</v>
      </c>
    </row>
    <row r="253" spans="24:27" x14ac:dyDescent="0.35">
      <c r="X253" s="3" t="s">
        <v>5</v>
      </c>
      <c r="Y253" s="3">
        <v>11</v>
      </c>
      <c r="Z253" s="3">
        <v>140</v>
      </c>
      <c r="AA253" s="3">
        <v>72.75</v>
      </c>
    </row>
    <row r="254" spans="24:27" x14ac:dyDescent="0.35">
      <c r="X254" s="3" t="s">
        <v>5</v>
      </c>
      <c r="Y254" s="3">
        <v>12</v>
      </c>
      <c r="Z254" s="3">
        <v>140</v>
      </c>
      <c r="AA254" s="3">
        <v>78</v>
      </c>
    </row>
    <row r="255" spans="24:27" x14ac:dyDescent="0.35">
      <c r="X255" s="3" t="s">
        <v>3</v>
      </c>
      <c r="Y255" s="3">
        <v>1</v>
      </c>
      <c r="Z255" s="3">
        <v>160</v>
      </c>
      <c r="AA255" s="3">
        <v>48</v>
      </c>
    </row>
    <row r="256" spans="24:27" x14ac:dyDescent="0.35">
      <c r="X256" s="3" t="s">
        <v>4</v>
      </c>
      <c r="Y256" s="3">
        <v>1</v>
      </c>
      <c r="Z256" s="3">
        <v>160</v>
      </c>
      <c r="AA256" s="3">
        <v>51</v>
      </c>
    </row>
    <row r="257" spans="24:27" x14ac:dyDescent="0.35">
      <c r="X257" s="3" t="s">
        <v>4</v>
      </c>
      <c r="Y257" s="3">
        <v>2</v>
      </c>
      <c r="Z257" s="3">
        <v>160</v>
      </c>
      <c r="AA257" s="3">
        <v>48</v>
      </c>
    </row>
    <row r="258" spans="24:27" x14ac:dyDescent="0.35">
      <c r="X258" s="3" t="s">
        <v>3</v>
      </c>
      <c r="Y258" s="3">
        <v>2</v>
      </c>
      <c r="Z258" s="3">
        <v>160</v>
      </c>
      <c r="AA258" s="3">
        <v>93</v>
      </c>
    </row>
    <row r="259" spans="24:27" x14ac:dyDescent="0.35">
      <c r="X259" s="3" t="s">
        <v>4</v>
      </c>
      <c r="Y259" s="3">
        <v>3</v>
      </c>
      <c r="Z259" s="3">
        <v>160</v>
      </c>
      <c r="AA259" s="3">
        <v>54</v>
      </c>
    </row>
    <row r="260" spans="24:27" x14ac:dyDescent="0.35">
      <c r="X260" s="3" t="s">
        <v>3</v>
      </c>
      <c r="Y260" s="3">
        <v>3</v>
      </c>
      <c r="Z260" s="3">
        <v>160</v>
      </c>
      <c r="AA260" s="3">
        <v>54</v>
      </c>
    </row>
    <row r="261" spans="24:27" x14ac:dyDescent="0.35">
      <c r="X261" s="3" t="s">
        <v>4</v>
      </c>
      <c r="Y261" s="3">
        <v>4</v>
      </c>
      <c r="Z261" s="3">
        <v>160</v>
      </c>
      <c r="AA261" s="3">
        <v>72</v>
      </c>
    </row>
    <row r="262" spans="24:27" x14ac:dyDescent="0.35">
      <c r="X262" s="3" t="s">
        <v>3</v>
      </c>
      <c r="Y262" s="3">
        <v>4</v>
      </c>
      <c r="Z262" s="3">
        <v>160</v>
      </c>
      <c r="AA262" s="3">
        <v>72</v>
      </c>
    </row>
    <row r="263" spans="24:27" x14ac:dyDescent="0.35">
      <c r="X263" s="3" t="s">
        <v>3</v>
      </c>
      <c r="Y263" s="3">
        <v>5</v>
      </c>
      <c r="Z263" s="3">
        <v>160</v>
      </c>
      <c r="AA263" s="3">
        <v>96</v>
      </c>
    </row>
    <row r="264" spans="24:27" x14ac:dyDescent="0.35">
      <c r="X264" s="3" t="s">
        <v>4</v>
      </c>
      <c r="Y264" s="3">
        <v>5</v>
      </c>
      <c r="Z264" s="3">
        <v>160</v>
      </c>
      <c r="AA264" s="3">
        <v>66</v>
      </c>
    </row>
    <row r="265" spans="24:27" x14ac:dyDescent="0.35">
      <c r="X265" s="3" t="s">
        <v>3</v>
      </c>
      <c r="Y265" s="3">
        <v>6</v>
      </c>
      <c r="Z265" s="3">
        <v>160</v>
      </c>
      <c r="AA265" s="3">
        <v>54</v>
      </c>
    </row>
    <row r="266" spans="24:27" x14ac:dyDescent="0.35">
      <c r="X266" s="3" t="s">
        <v>4</v>
      </c>
      <c r="Y266" s="3">
        <v>6</v>
      </c>
      <c r="Z266" s="3">
        <v>160</v>
      </c>
      <c r="AA266" s="3">
        <v>66</v>
      </c>
    </row>
    <row r="267" spans="24:27" x14ac:dyDescent="0.35">
      <c r="X267" s="3" t="s">
        <v>3</v>
      </c>
      <c r="Y267" s="3">
        <v>7</v>
      </c>
      <c r="Z267" s="3">
        <v>160</v>
      </c>
      <c r="AA267" s="3">
        <v>69</v>
      </c>
    </row>
    <row r="268" spans="24:27" x14ac:dyDescent="0.35">
      <c r="X268" s="3" t="s">
        <v>3</v>
      </c>
      <c r="Y268" s="3">
        <v>8</v>
      </c>
      <c r="Z268" s="3">
        <v>160</v>
      </c>
      <c r="AA268" s="3">
        <v>48</v>
      </c>
    </row>
    <row r="269" spans="24:27" x14ac:dyDescent="0.35">
      <c r="X269" s="3" t="s">
        <v>3</v>
      </c>
      <c r="Y269" s="3">
        <v>9</v>
      </c>
      <c r="Z269" s="3">
        <v>160</v>
      </c>
      <c r="AA269" s="3">
        <v>82.5</v>
      </c>
    </row>
    <row r="270" spans="24:27" x14ac:dyDescent="0.35">
      <c r="X270" s="3" t="s">
        <v>3</v>
      </c>
      <c r="Y270" s="3">
        <v>10</v>
      </c>
      <c r="Z270" s="3">
        <v>160</v>
      </c>
      <c r="AA270" s="3">
        <v>83.25</v>
      </c>
    </row>
    <row r="271" spans="24:27" x14ac:dyDescent="0.35">
      <c r="X271" s="3" t="s">
        <v>3</v>
      </c>
      <c r="Y271" s="3">
        <v>11</v>
      </c>
      <c r="Z271" s="3">
        <v>160</v>
      </c>
      <c r="AA271" s="3">
        <v>75</v>
      </c>
    </row>
    <row r="272" spans="24:27" x14ac:dyDescent="0.35">
      <c r="X272" s="3" t="s">
        <v>3</v>
      </c>
      <c r="Y272" s="3">
        <v>12</v>
      </c>
      <c r="Z272" s="3">
        <v>160</v>
      </c>
      <c r="AA272" s="3">
        <v>78</v>
      </c>
    </row>
    <row r="273" spans="24:27" x14ac:dyDescent="0.35">
      <c r="X273" s="3" t="s">
        <v>4</v>
      </c>
      <c r="Y273" s="3">
        <v>7</v>
      </c>
      <c r="Z273" s="3">
        <v>160</v>
      </c>
      <c r="AA273" s="3">
        <v>96.75</v>
      </c>
    </row>
    <row r="274" spans="24:27" x14ac:dyDescent="0.35">
      <c r="X274" s="3" t="s">
        <v>4</v>
      </c>
      <c r="Y274" s="3">
        <v>8</v>
      </c>
      <c r="Z274" s="3">
        <v>160</v>
      </c>
      <c r="AA274" s="3">
        <v>93</v>
      </c>
    </row>
    <row r="275" spans="24:27" x14ac:dyDescent="0.35">
      <c r="X275" s="3" t="s">
        <v>4</v>
      </c>
      <c r="Y275" s="3">
        <v>9</v>
      </c>
      <c r="Z275" s="3">
        <v>160</v>
      </c>
      <c r="AA275" s="3">
        <v>66</v>
      </c>
    </row>
    <row r="276" spans="24:27" x14ac:dyDescent="0.35">
      <c r="X276" s="3" t="s">
        <v>4</v>
      </c>
      <c r="Y276" s="3">
        <v>10</v>
      </c>
      <c r="Z276" s="3">
        <v>160</v>
      </c>
      <c r="AA276" s="3">
        <v>96</v>
      </c>
    </row>
    <row r="277" spans="24:27" x14ac:dyDescent="0.35">
      <c r="X277" s="3" t="s">
        <v>4</v>
      </c>
      <c r="Y277" s="3">
        <v>11</v>
      </c>
      <c r="Z277" s="3">
        <v>160</v>
      </c>
      <c r="AA277" s="3">
        <v>86.25</v>
      </c>
    </row>
    <row r="278" spans="24:27" x14ac:dyDescent="0.35">
      <c r="X278" s="3" t="s">
        <v>4</v>
      </c>
      <c r="Y278" s="3">
        <v>12</v>
      </c>
      <c r="Z278" s="3">
        <v>160</v>
      </c>
      <c r="AA278" s="3">
        <v>69</v>
      </c>
    </row>
    <row r="279" spans="24:27" x14ac:dyDescent="0.35">
      <c r="X279" s="3" t="s">
        <v>5</v>
      </c>
      <c r="Y279" s="3">
        <v>1</v>
      </c>
      <c r="Z279" s="3">
        <v>160</v>
      </c>
      <c r="AA279" s="3">
        <v>66</v>
      </c>
    </row>
    <row r="280" spans="24:27" x14ac:dyDescent="0.35">
      <c r="X280" s="3" t="s">
        <v>5</v>
      </c>
      <c r="Y280" s="3">
        <v>2</v>
      </c>
      <c r="Z280" s="3">
        <v>160</v>
      </c>
      <c r="AA280" s="3">
        <v>72</v>
      </c>
    </row>
    <row r="281" spans="24:27" x14ac:dyDescent="0.35">
      <c r="X281" s="3" t="s">
        <v>5</v>
      </c>
      <c r="Y281" s="3">
        <v>3</v>
      </c>
      <c r="Z281" s="3">
        <v>160</v>
      </c>
      <c r="AA281" s="3">
        <v>63</v>
      </c>
    </row>
    <row r="282" spans="24:27" x14ac:dyDescent="0.35">
      <c r="X282" s="3" t="s">
        <v>5</v>
      </c>
      <c r="Y282" s="3">
        <v>4</v>
      </c>
      <c r="Z282" s="3">
        <v>160</v>
      </c>
      <c r="AA282" s="3">
        <v>51</v>
      </c>
    </row>
    <row r="283" spans="24:27" x14ac:dyDescent="0.35">
      <c r="X283" s="3" t="s">
        <v>5</v>
      </c>
      <c r="Y283" s="3">
        <v>5</v>
      </c>
      <c r="Z283" s="3">
        <v>160</v>
      </c>
      <c r="AA283" s="3">
        <v>63.75</v>
      </c>
    </row>
    <row r="284" spans="24:27" x14ac:dyDescent="0.35">
      <c r="X284" s="3" t="s">
        <v>5</v>
      </c>
      <c r="Y284" s="3">
        <v>6</v>
      </c>
      <c r="Z284" s="3">
        <v>160</v>
      </c>
      <c r="AA284" s="3">
        <v>83.25</v>
      </c>
    </row>
    <row r="285" spans="24:27" x14ac:dyDescent="0.35">
      <c r="X285" s="3" t="s">
        <v>5</v>
      </c>
      <c r="Y285" s="3">
        <v>7</v>
      </c>
      <c r="Z285" s="3">
        <v>160</v>
      </c>
      <c r="AA285" s="3">
        <v>69.75</v>
      </c>
    </row>
    <row r="286" spans="24:27" x14ac:dyDescent="0.35">
      <c r="X286" s="3" t="s">
        <v>5</v>
      </c>
      <c r="Y286" s="3">
        <v>8</v>
      </c>
      <c r="Z286" s="3">
        <v>160</v>
      </c>
      <c r="AA286" s="3">
        <v>72.375</v>
      </c>
    </row>
    <row r="287" spans="24:27" x14ac:dyDescent="0.35">
      <c r="X287" s="3" t="s">
        <v>5</v>
      </c>
      <c r="Y287" s="3">
        <v>9</v>
      </c>
      <c r="Z287" s="3">
        <v>160</v>
      </c>
      <c r="AA287" s="3">
        <v>72.75</v>
      </c>
    </row>
    <row r="288" spans="24:27" x14ac:dyDescent="0.35">
      <c r="X288" s="3" t="s">
        <v>5</v>
      </c>
      <c r="Y288" s="3">
        <v>10</v>
      </c>
      <c r="Z288" s="3">
        <v>160</v>
      </c>
      <c r="AA288" s="3">
        <v>93</v>
      </c>
    </row>
    <row r="289" spans="24:27" x14ac:dyDescent="0.35">
      <c r="X289" s="3" t="s">
        <v>5</v>
      </c>
      <c r="Y289" s="3">
        <v>11</v>
      </c>
      <c r="Z289" s="3">
        <v>160</v>
      </c>
      <c r="AA289" s="3">
        <v>71.625</v>
      </c>
    </row>
    <row r="290" spans="24:27" x14ac:dyDescent="0.35">
      <c r="X290" s="3" t="s">
        <v>5</v>
      </c>
      <c r="Y290" s="3">
        <v>12</v>
      </c>
      <c r="Z290" s="3">
        <v>160</v>
      </c>
      <c r="AA290" s="3">
        <v>72</v>
      </c>
    </row>
    <row r="291" spans="24:27" x14ac:dyDescent="0.35">
      <c r="X291" s="3" t="s">
        <v>3</v>
      </c>
      <c r="Y291" s="3">
        <v>1</v>
      </c>
      <c r="Z291" s="3">
        <v>180</v>
      </c>
      <c r="AA291" s="3">
        <v>52.5</v>
      </c>
    </row>
    <row r="292" spans="24:27" x14ac:dyDescent="0.35">
      <c r="X292" s="3" t="s">
        <v>4</v>
      </c>
      <c r="Y292" s="3">
        <v>1</v>
      </c>
      <c r="Z292" s="3">
        <v>180</v>
      </c>
      <c r="AA292" s="3">
        <v>63</v>
      </c>
    </row>
    <row r="293" spans="24:27" x14ac:dyDescent="0.35">
      <c r="X293" s="3" t="s">
        <v>4</v>
      </c>
      <c r="Y293" s="3">
        <v>2</v>
      </c>
      <c r="Z293" s="3">
        <v>180</v>
      </c>
      <c r="AA293" s="3">
        <v>51</v>
      </c>
    </row>
    <row r="294" spans="24:27" x14ac:dyDescent="0.35">
      <c r="X294" s="3" t="s">
        <v>3</v>
      </c>
      <c r="Y294" s="3">
        <v>2</v>
      </c>
      <c r="Z294" s="3">
        <v>180</v>
      </c>
      <c r="AA294" s="3">
        <v>87</v>
      </c>
    </row>
    <row r="295" spans="24:27" x14ac:dyDescent="0.35">
      <c r="X295" s="3" t="s">
        <v>4</v>
      </c>
      <c r="Y295" s="3">
        <v>3</v>
      </c>
      <c r="Z295" s="3">
        <v>180</v>
      </c>
      <c r="AA295" s="3">
        <v>54</v>
      </c>
    </row>
    <row r="296" spans="24:27" x14ac:dyDescent="0.35">
      <c r="X296" s="3" t="s">
        <v>3</v>
      </c>
      <c r="Y296" s="3">
        <v>3</v>
      </c>
      <c r="Z296" s="3">
        <v>180</v>
      </c>
      <c r="AA296" s="3">
        <v>54</v>
      </c>
    </row>
    <row r="297" spans="24:27" x14ac:dyDescent="0.35">
      <c r="X297" s="3" t="s">
        <v>4</v>
      </c>
      <c r="Y297" s="3">
        <v>4</v>
      </c>
      <c r="Z297" s="3">
        <v>180</v>
      </c>
      <c r="AA297" s="3">
        <v>72</v>
      </c>
    </row>
    <row r="298" spans="24:27" x14ac:dyDescent="0.35">
      <c r="X298" s="3" t="s">
        <v>3</v>
      </c>
      <c r="Y298" s="3">
        <v>4</v>
      </c>
      <c r="Z298" s="3">
        <v>180</v>
      </c>
      <c r="AA298" s="3">
        <v>66</v>
      </c>
    </row>
    <row r="299" spans="24:27" x14ac:dyDescent="0.35">
      <c r="X299" s="3" t="s">
        <v>3</v>
      </c>
      <c r="Y299" s="3">
        <v>5</v>
      </c>
      <c r="Z299" s="3">
        <v>180</v>
      </c>
      <c r="AA299" s="3">
        <v>96</v>
      </c>
    </row>
    <row r="300" spans="24:27" x14ac:dyDescent="0.35">
      <c r="X300" s="3" t="s">
        <v>4</v>
      </c>
      <c r="Y300" s="3">
        <v>5</v>
      </c>
      <c r="Z300" s="3">
        <v>180</v>
      </c>
      <c r="AA300" s="3">
        <v>72</v>
      </c>
    </row>
    <row r="301" spans="24:27" x14ac:dyDescent="0.35">
      <c r="X301" s="3" t="s">
        <v>3</v>
      </c>
      <c r="Y301" s="3">
        <v>6</v>
      </c>
      <c r="Z301" s="3">
        <v>180</v>
      </c>
      <c r="AA301" s="3">
        <v>67.5</v>
      </c>
    </row>
    <row r="302" spans="24:27" x14ac:dyDescent="0.35">
      <c r="X302" s="3" t="s">
        <v>4</v>
      </c>
      <c r="Y302" s="3">
        <v>6</v>
      </c>
      <c r="Z302" s="3">
        <v>180</v>
      </c>
      <c r="AA302" s="3">
        <v>66</v>
      </c>
    </row>
    <row r="303" spans="24:27" x14ac:dyDescent="0.35">
      <c r="X303" s="3" t="s">
        <v>3</v>
      </c>
      <c r="Y303" s="3">
        <v>7</v>
      </c>
      <c r="Z303" s="3">
        <v>180</v>
      </c>
      <c r="AA303" s="3">
        <v>73.5</v>
      </c>
    </row>
    <row r="304" spans="24:27" x14ac:dyDescent="0.35">
      <c r="X304" s="3" t="s">
        <v>3</v>
      </c>
      <c r="Y304" s="3">
        <v>8</v>
      </c>
      <c r="Z304" s="3">
        <v>180</v>
      </c>
      <c r="AA304" s="3">
        <v>63</v>
      </c>
    </row>
    <row r="305" spans="24:27" x14ac:dyDescent="0.35">
      <c r="X305" s="3" t="s">
        <v>3</v>
      </c>
      <c r="Y305" s="3">
        <v>9</v>
      </c>
      <c r="Z305" s="3">
        <v>180</v>
      </c>
      <c r="AA305" s="3">
        <v>83.25</v>
      </c>
    </row>
    <row r="306" spans="24:27" x14ac:dyDescent="0.35">
      <c r="X306" s="3" t="s">
        <v>3</v>
      </c>
      <c r="Y306" s="3">
        <v>10</v>
      </c>
      <c r="Z306" s="3">
        <v>180</v>
      </c>
      <c r="AA306" s="3">
        <v>85.875</v>
      </c>
    </row>
    <row r="307" spans="24:27" x14ac:dyDescent="0.35">
      <c r="X307" s="3" t="s">
        <v>3</v>
      </c>
      <c r="Y307" s="3">
        <v>11</v>
      </c>
      <c r="Z307" s="3">
        <v>180</v>
      </c>
      <c r="AA307" s="3">
        <v>75</v>
      </c>
    </row>
    <row r="308" spans="24:27" x14ac:dyDescent="0.35">
      <c r="X308" s="3" t="s">
        <v>3</v>
      </c>
      <c r="Y308" s="3">
        <v>12</v>
      </c>
      <c r="Z308" s="3">
        <v>180</v>
      </c>
      <c r="AA308" s="3">
        <v>78</v>
      </c>
    </row>
    <row r="309" spans="24:27" x14ac:dyDescent="0.35">
      <c r="X309" s="3" t="s">
        <v>4</v>
      </c>
      <c r="Y309" s="3">
        <v>7</v>
      </c>
      <c r="Z309" s="3">
        <v>180</v>
      </c>
      <c r="AA309" s="3">
        <v>95.625</v>
      </c>
    </row>
    <row r="310" spans="24:27" x14ac:dyDescent="0.35">
      <c r="X310" s="3" t="s">
        <v>4</v>
      </c>
      <c r="Y310" s="3">
        <v>8</v>
      </c>
      <c r="Z310" s="3">
        <v>180</v>
      </c>
      <c r="AA310" s="3">
        <v>93</v>
      </c>
    </row>
    <row r="311" spans="24:27" x14ac:dyDescent="0.35">
      <c r="X311" s="3" t="s">
        <v>4</v>
      </c>
      <c r="Y311" s="3">
        <v>9</v>
      </c>
      <c r="Z311" s="3">
        <v>180</v>
      </c>
      <c r="AA311" s="3">
        <v>70.5</v>
      </c>
    </row>
    <row r="312" spans="24:27" x14ac:dyDescent="0.35">
      <c r="X312" s="3" t="s">
        <v>4</v>
      </c>
      <c r="Y312" s="3">
        <v>10</v>
      </c>
      <c r="Z312" s="3">
        <v>180</v>
      </c>
      <c r="AA312" s="3">
        <v>81</v>
      </c>
    </row>
    <row r="313" spans="24:27" x14ac:dyDescent="0.35">
      <c r="X313" s="3" t="s">
        <v>4</v>
      </c>
      <c r="Y313" s="3">
        <v>11</v>
      </c>
      <c r="Z313" s="3">
        <v>180</v>
      </c>
      <c r="AA313" s="3">
        <v>87.375</v>
      </c>
    </row>
    <row r="314" spans="24:27" x14ac:dyDescent="0.35">
      <c r="X314" s="3" t="s">
        <v>4</v>
      </c>
      <c r="Y314" s="3">
        <v>12</v>
      </c>
      <c r="Z314" s="3">
        <v>180</v>
      </c>
      <c r="AA314" s="3">
        <v>69</v>
      </c>
    </row>
    <row r="315" spans="24:27" x14ac:dyDescent="0.35">
      <c r="X315" s="3" t="s">
        <v>5</v>
      </c>
      <c r="Y315" s="3">
        <v>1</v>
      </c>
      <c r="Z315" s="3">
        <v>180</v>
      </c>
      <c r="AA315" s="3">
        <v>66</v>
      </c>
    </row>
    <row r="316" spans="24:27" x14ac:dyDescent="0.35">
      <c r="X316" s="3" t="s">
        <v>5</v>
      </c>
      <c r="Y316" s="3">
        <v>2</v>
      </c>
      <c r="Z316" s="3">
        <v>180</v>
      </c>
      <c r="AA316" s="3">
        <v>72</v>
      </c>
    </row>
    <row r="317" spans="24:27" x14ac:dyDescent="0.35">
      <c r="X317" s="3" t="s">
        <v>5</v>
      </c>
      <c r="Y317" s="3">
        <v>3</v>
      </c>
      <c r="Z317" s="3">
        <v>180</v>
      </c>
      <c r="AA317" s="3">
        <v>63</v>
      </c>
    </row>
    <row r="318" spans="24:27" x14ac:dyDescent="0.35">
      <c r="X318" s="3" t="s">
        <v>5</v>
      </c>
      <c r="Y318" s="3">
        <v>4</v>
      </c>
      <c r="Z318" s="3">
        <v>180</v>
      </c>
      <c r="AA318" s="3">
        <v>51</v>
      </c>
    </row>
    <row r="319" spans="24:27" x14ac:dyDescent="0.35">
      <c r="X319" s="3" t="s">
        <v>5</v>
      </c>
      <c r="Y319" s="3">
        <v>5</v>
      </c>
      <c r="Z319" s="3">
        <v>180</v>
      </c>
      <c r="AA319" s="3">
        <v>65.625</v>
      </c>
    </row>
    <row r="320" spans="24:27" x14ac:dyDescent="0.35">
      <c r="X320" s="3" t="s">
        <v>5</v>
      </c>
      <c r="Y320" s="3">
        <v>6</v>
      </c>
      <c r="Z320" s="3">
        <v>180</v>
      </c>
      <c r="AA320" s="3">
        <v>82.875</v>
      </c>
    </row>
    <row r="321" spans="24:27" x14ac:dyDescent="0.35">
      <c r="X321" s="3" t="s">
        <v>5</v>
      </c>
      <c r="Y321" s="3">
        <v>7</v>
      </c>
      <c r="Z321" s="3">
        <v>180</v>
      </c>
      <c r="AA321" s="3">
        <v>70.125</v>
      </c>
    </row>
    <row r="322" spans="24:27" x14ac:dyDescent="0.35">
      <c r="X322" s="3" t="s">
        <v>5</v>
      </c>
      <c r="Y322" s="3">
        <v>8</v>
      </c>
      <c r="Z322" s="3">
        <v>180</v>
      </c>
      <c r="AA322" s="3">
        <v>71.8125</v>
      </c>
    </row>
    <row r="323" spans="24:27" x14ac:dyDescent="0.35">
      <c r="X323" s="3" t="s">
        <v>5</v>
      </c>
      <c r="Y323" s="3">
        <v>9</v>
      </c>
      <c r="Z323" s="3">
        <v>180</v>
      </c>
      <c r="AA323" s="3">
        <v>74.625</v>
      </c>
    </row>
    <row r="324" spans="24:27" x14ac:dyDescent="0.35">
      <c r="X324" s="3" t="s">
        <v>5</v>
      </c>
      <c r="Y324" s="3">
        <v>10</v>
      </c>
      <c r="Z324" s="3">
        <v>180</v>
      </c>
      <c r="AA324" s="3">
        <v>90</v>
      </c>
    </row>
    <row r="325" spans="24:27" x14ac:dyDescent="0.35">
      <c r="X325" s="3" t="s">
        <v>5</v>
      </c>
      <c r="Y325" s="3">
        <v>11</v>
      </c>
      <c r="Z325" s="3">
        <v>180</v>
      </c>
      <c r="AA325" s="3">
        <v>72.1875</v>
      </c>
    </row>
    <row r="326" spans="24:27" x14ac:dyDescent="0.35">
      <c r="X326" s="3" t="s">
        <v>5</v>
      </c>
      <c r="Y326" s="3">
        <v>12</v>
      </c>
      <c r="Z326" s="3">
        <v>180</v>
      </c>
      <c r="AA326" s="3">
        <v>75</v>
      </c>
    </row>
    <row r="327" spans="24:27" x14ac:dyDescent="0.35">
      <c r="AA327" s="3"/>
    </row>
    <row r="328" spans="24:27" x14ac:dyDescent="0.35">
      <c r="AA328" s="3"/>
    </row>
  </sheetData>
  <sortState xmlns:xlrd2="http://schemas.microsoft.com/office/spreadsheetml/2017/richdata2" ref="AF2:AG37">
    <sortCondition ref="AF2:AF37"/>
  </sortState>
  <mergeCells count="2">
    <mergeCell ref="C1:K1"/>
    <mergeCell ref="N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D269-3DB1-4858-8BF6-368556B76FD5}">
  <dimension ref="A1:AG328"/>
  <sheetViews>
    <sheetView tabSelected="1" zoomScale="110" zoomScaleNormal="110" workbookViewId="0">
      <selection activeCell="C1" sqref="C1:K1"/>
    </sheetView>
  </sheetViews>
  <sheetFormatPr baseColWidth="10" defaultRowHeight="14.5" x14ac:dyDescent="0.35"/>
  <cols>
    <col min="3" max="3" width="2.81640625" style="6" bestFit="1" customWidth="1"/>
    <col min="4" max="4" width="2.81640625" bestFit="1" customWidth="1"/>
    <col min="5" max="5" width="2.81640625" style="7" bestFit="1" customWidth="1"/>
    <col min="6" max="6" width="2.81640625" style="6" bestFit="1" customWidth="1"/>
    <col min="7" max="7" width="3.81640625" bestFit="1" customWidth="1"/>
    <col min="8" max="8" width="4.81640625" style="7" bestFit="1" customWidth="1"/>
    <col min="9" max="9" width="3.81640625" style="6" bestFit="1" customWidth="1"/>
    <col min="10" max="10" width="3.81640625" bestFit="1" customWidth="1"/>
    <col min="11" max="11" width="4.81640625" style="7" bestFit="1" customWidth="1"/>
    <col min="12" max="12" width="5" customWidth="1"/>
    <col min="14" max="14" width="2.81640625" style="6" bestFit="1" customWidth="1"/>
    <col min="15" max="15" width="3.81640625" bestFit="1" customWidth="1"/>
    <col min="16" max="16" width="3.81640625" style="7" bestFit="1" customWidth="1"/>
    <col min="17" max="17" width="3.81640625" style="6" bestFit="1" customWidth="1"/>
    <col min="18" max="18" width="3.81640625" bestFit="1" customWidth="1"/>
    <col min="19" max="19" width="4.81640625" style="7" bestFit="1" customWidth="1"/>
    <col min="20" max="20" width="3.81640625" style="6" bestFit="1" customWidth="1"/>
    <col min="21" max="21" width="3.81640625" bestFit="1" customWidth="1"/>
    <col min="22" max="22" width="4.81640625" style="7" bestFit="1" customWidth="1"/>
    <col min="23" max="23" width="4.81640625" customWidth="1"/>
    <col min="24" max="24" width="10.90625" bestFit="1" customWidth="1"/>
    <col min="25" max="25" width="10.90625" style="3"/>
    <col min="27" max="27" width="12.6328125" customWidth="1"/>
    <col min="28" max="28" width="15" bestFit="1" customWidth="1"/>
  </cols>
  <sheetData>
    <row r="1" spans="1:33" x14ac:dyDescent="0.35">
      <c r="A1" s="1"/>
      <c r="B1" s="2" t="s">
        <v>18</v>
      </c>
      <c r="C1" s="22" t="s">
        <v>35</v>
      </c>
      <c r="D1" s="23"/>
      <c r="E1" s="23"/>
      <c r="F1" s="23"/>
      <c r="G1" s="23"/>
      <c r="H1" s="23"/>
      <c r="I1" s="23"/>
      <c r="J1" s="23"/>
      <c r="K1" s="23"/>
      <c r="M1" s="2" t="s">
        <v>18</v>
      </c>
      <c r="N1" s="22" t="s">
        <v>35</v>
      </c>
      <c r="O1" s="23"/>
      <c r="P1" s="23"/>
      <c r="Q1" s="23"/>
      <c r="R1" s="23"/>
      <c r="S1" s="23"/>
      <c r="T1" s="23"/>
      <c r="U1" s="23"/>
      <c r="V1" s="24"/>
      <c r="W1" s="3"/>
      <c r="X1" s="3"/>
      <c r="Y1" s="2"/>
    </row>
    <row r="2" spans="1:33" x14ac:dyDescent="0.35">
      <c r="A2" s="1" t="s">
        <v>0</v>
      </c>
      <c r="B2" s="2" t="s">
        <v>2</v>
      </c>
      <c r="C2" s="8">
        <v>20</v>
      </c>
      <c r="D2" s="2">
        <f>C2+20</f>
        <v>40</v>
      </c>
      <c r="E2" s="2">
        <f t="shared" ref="E2:K2" si="0">D2+20</f>
        <v>60</v>
      </c>
      <c r="F2" s="2">
        <f t="shared" si="0"/>
        <v>80</v>
      </c>
      <c r="G2" s="2">
        <f t="shared" si="0"/>
        <v>100</v>
      </c>
      <c r="H2" s="2">
        <f t="shared" si="0"/>
        <v>120</v>
      </c>
      <c r="I2" s="2">
        <f t="shared" si="0"/>
        <v>140</v>
      </c>
      <c r="J2" s="2">
        <f t="shared" si="0"/>
        <v>160</v>
      </c>
      <c r="K2" s="2">
        <f t="shared" si="0"/>
        <v>180</v>
      </c>
      <c r="M2" s="2" t="s">
        <v>2</v>
      </c>
      <c r="N2" s="8">
        <v>20</v>
      </c>
      <c r="O2" s="2">
        <f>N2+20</f>
        <v>40</v>
      </c>
      <c r="P2" s="2">
        <f t="shared" ref="P2:V2" si="1">O2+20</f>
        <v>60</v>
      </c>
      <c r="Q2" s="2">
        <f t="shared" si="1"/>
        <v>80</v>
      </c>
      <c r="R2" s="2">
        <f t="shared" si="1"/>
        <v>100</v>
      </c>
      <c r="S2" s="2">
        <f t="shared" si="1"/>
        <v>120</v>
      </c>
      <c r="T2" s="2">
        <f t="shared" si="1"/>
        <v>140</v>
      </c>
      <c r="U2" s="2">
        <f t="shared" si="1"/>
        <v>160</v>
      </c>
      <c r="V2" s="9">
        <f t="shared" si="1"/>
        <v>180</v>
      </c>
      <c r="W2" s="2"/>
      <c r="X2" s="2" t="s">
        <v>18</v>
      </c>
      <c r="Y2" s="2" t="s">
        <v>19</v>
      </c>
      <c r="Z2" s="2" t="s">
        <v>20</v>
      </c>
      <c r="AA2" s="1" t="s">
        <v>32</v>
      </c>
      <c r="AB2" s="1" t="s">
        <v>31</v>
      </c>
      <c r="AF2" s="3"/>
      <c r="AG2" s="3"/>
    </row>
    <row r="3" spans="1:33" x14ac:dyDescent="0.35">
      <c r="A3" s="3">
        <v>1</v>
      </c>
      <c r="B3" s="3" t="s">
        <v>3</v>
      </c>
      <c r="C3" s="6">
        <v>24</v>
      </c>
      <c r="D3">
        <v>24</v>
      </c>
      <c r="E3">
        <v>22</v>
      </c>
      <c r="F3">
        <v>22</v>
      </c>
      <c r="G3">
        <v>24</v>
      </c>
      <c r="H3">
        <v>27</v>
      </c>
      <c r="I3">
        <v>28</v>
      </c>
      <c r="J3">
        <v>26</v>
      </c>
      <c r="K3">
        <v>26</v>
      </c>
      <c r="M3" s="3" t="str">
        <f>B3</f>
        <v>100/80</v>
      </c>
      <c r="N3" s="10">
        <f>C3*3</f>
        <v>72</v>
      </c>
      <c r="O3" s="10">
        <f t="shared" ref="O3:Q18" si="2">D3*3</f>
        <v>72</v>
      </c>
      <c r="P3" s="10">
        <f t="shared" si="2"/>
        <v>66</v>
      </c>
      <c r="Q3" s="10">
        <f t="shared" si="2"/>
        <v>66</v>
      </c>
      <c r="R3" s="10">
        <f t="shared" ref="R3" si="3">G3*3</f>
        <v>72</v>
      </c>
      <c r="S3" s="10">
        <f t="shared" ref="S3" si="4">H3*3</f>
        <v>81</v>
      </c>
      <c r="T3" s="10">
        <f t="shared" ref="T3" si="5">I3*3</f>
        <v>84</v>
      </c>
      <c r="U3" s="10">
        <f t="shared" ref="U3" si="6">J3*3</f>
        <v>78</v>
      </c>
      <c r="V3" s="10">
        <f t="shared" ref="V3" si="7">K3*3</f>
        <v>78</v>
      </c>
      <c r="W3" s="3"/>
      <c r="X3" s="3" t="s">
        <v>3</v>
      </c>
      <c r="Y3" s="3">
        <v>1</v>
      </c>
      <c r="Z3" s="3">
        <v>20</v>
      </c>
      <c r="AA3" s="3">
        <v>15</v>
      </c>
      <c r="AB3" s="3">
        <v>72</v>
      </c>
    </row>
    <row r="4" spans="1:33" x14ac:dyDescent="0.35">
      <c r="A4" s="3">
        <f>A3+1</f>
        <v>2</v>
      </c>
      <c r="B4" s="3" t="s">
        <v>4</v>
      </c>
      <c r="C4" s="6">
        <v>29</v>
      </c>
      <c r="D4">
        <v>32</v>
      </c>
      <c r="E4">
        <v>31</v>
      </c>
      <c r="F4">
        <v>32</v>
      </c>
      <c r="G4">
        <v>33</v>
      </c>
      <c r="H4">
        <v>26</v>
      </c>
      <c r="I4">
        <v>21</v>
      </c>
      <c r="J4">
        <v>24</v>
      </c>
      <c r="K4">
        <v>22</v>
      </c>
      <c r="M4" s="3" t="str">
        <f t="shared" ref="M4:M38" si="8">B4</f>
        <v>100/60</v>
      </c>
      <c r="N4" s="10">
        <f t="shared" ref="N4:P38" si="9">C4*3</f>
        <v>87</v>
      </c>
      <c r="O4" s="10">
        <f t="shared" si="2"/>
        <v>96</v>
      </c>
      <c r="P4" s="10">
        <f t="shared" si="2"/>
        <v>93</v>
      </c>
      <c r="Q4" s="10">
        <f t="shared" ref="Q4:Q38" si="10">F4*3</f>
        <v>96</v>
      </c>
      <c r="R4" s="10">
        <f t="shared" ref="R4:R38" si="11">G4*3</f>
        <v>99</v>
      </c>
      <c r="S4" s="10">
        <f t="shared" ref="S4:S38" si="12">H4*3</f>
        <v>78</v>
      </c>
      <c r="T4" s="10">
        <f t="shared" ref="T4:T38" si="13">I4*3</f>
        <v>63</v>
      </c>
      <c r="U4" s="10">
        <f t="shared" ref="U4:U38" si="14">J4*3</f>
        <v>72</v>
      </c>
      <c r="V4" s="10">
        <f t="shared" ref="V4:V38" si="15">K4*3</f>
        <v>66</v>
      </c>
      <c r="W4" s="3"/>
      <c r="X4" s="3" t="s">
        <v>4</v>
      </c>
      <c r="Y4" s="3">
        <v>1</v>
      </c>
      <c r="Z4" s="3">
        <v>20</v>
      </c>
      <c r="AA4" s="3">
        <v>63</v>
      </c>
      <c r="AB4" s="3">
        <v>87</v>
      </c>
    </row>
    <row r="5" spans="1:33" x14ac:dyDescent="0.35">
      <c r="A5" s="3">
        <f t="shared" ref="A5:A38" si="16">A4+1</f>
        <v>3</v>
      </c>
      <c r="B5" s="3" t="s">
        <v>4</v>
      </c>
      <c r="C5" s="6">
        <v>32</v>
      </c>
      <c r="D5">
        <v>32</v>
      </c>
      <c r="E5">
        <v>29</v>
      </c>
      <c r="F5">
        <v>25</v>
      </c>
      <c r="G5">
        <v>25</v>
      </c>
      <c r="H5">
        <v>26</v>
      </c>
      <c r="I5">
        <v>26</v>
      </c>
      <c r="J5">
        <v>26</v>
      </c>
      <c r="K5">
        <v>26</v>
      </c>
      <c r="M5" s="3" t="str">
        <f t="shared" si="8"/>
        <v>100/60</v>
      </c>
      <c r="N5" s="10">
        <f t="shared" si="9"/>
        <v>96</v>
      </c>
      <c r="O5" s="10">
        <f t="shared" si="2"/>
        <v>96</v>
      </c>
      <c r="P5" s="10">
        <f t="shared" si="2"/>
        <v>87</v>
      </c>
      <c r="Q5" s="10">
        <f t="shared" si="10"/>
        <v>75</v>
      </c>
      <c r="R5" s="10">
        <f t="shared" si="11"/>
        <v>75</v>
      </c>
      <c r="S5" s="10">
        <f t="shared" si="12"/>
        <v>78</v>
      </c>
      <c r="T5" s="10">
        <f t="shared" si="13"/>
        <v>78</v>
      </c>
      <c r="U5" s="10">
        <f t="shared" si="14"/>
        <v>78</v>
      </c>
      <c r="V5" s="10">
        <f t="shared" si="15"/>
        <v>78</v>
      </c>
      <c r="W5" s="3"/>
      <c r="X5" s="3" t="s">
        <v>4</v>
      </c>
      <c r="Y5" s="3">
        <v>2</v>
      </c>
      <c r="Z5" s="3">
        <v>20</v>
      </c>
      <c r="AA5" s="3">
        <v>21</v>
      </c>
      <c r="AB5" s="3">
        <v>96</v>
      </c>
    </row>
    <row r="6" spans="1:33" x14ac:dyDescent="0.35">
      <c r="A6" s="3">
        <f t="shared" si="16"/>
        <v>4</v>
      </c>
      <c r="B6" s="3" t="s">
        <v>3</v>
      </c>
      <c r="C6" s="6">
        <v>10</v>
      </c>
      <c r="D6">
        <v>6</v>
      </c>
      <c r="E6">
        <v>15</v>
      </c>
      <c r="F6">
        <v>22</v>
      </c>
      <c r="G6">
        <v>18</v>
      </c>
      <c r="H6">
        <v>13</v>
      </c>
      <c r="I6">
        <v>28</v>
      </c>
      <c r="J6">
        <v>24</v>
      </c>
      <c r="K6">
        <v>24</v>
      </c>
      <c r="M6" s="3" t="str">
        <f t="shared" si="8"/>
        <v>100/80</v>
      </c>
      <c r="N6" s="10">
        <f t="shared" si="9"/>
        <v>30</v>
      </c>
      <c r="O6" s="10">
        <f t="shared" si="2"/>
        <v>18</v>
      </c>
      <c r="P6" s="10">
        <f t="shared" si="2"/>
        <v>45</v>
      </c>
      <c r="Q6" s="10">
        <f t="shared" si="10"/>
        <v>66</v>
      </c>
      <c r="R6" s="10">
        <f t="shared" si="11"/>
        <v>54</v>
      </c>
      <c r="S6" s="10">
        <f t="shared" si="12"/>
        <v>39</v>
      </c>
      <c r="T6" s="10">
        <f t="shared" si="13"/>
        <v>84</v>
      </c>
      <c r="U6" s="10">
        <f t="shared" si="14"/>
        <v>72</v>
      </c>
      <c r="V6" s="10">
        <f t="shared" si="15"/>
        <v>72</v>
      </c>
      <c r="W6" s="3"/>
      <c r="X6" s="3" t="s">
        <v>3</v>
      </c>
      <c r="Y6" s="3">
        <v>2</v>
      </c>
      <c r="Z6" s="3">
        <v>20</v>
      </c>
      <c r="AA6" s="3">
        <v>24</v>
      </c>
      <c r="AB6" s="3">
        <v>30</v>
      </c>
    </row>
    <row r="7" spans="1:33" x14ac:dyDescent="0.35">
      <c r="A7" s="3">
        <f t="shared" si="16"/>
        <v>5</v>
      </c>
      <c r="B7" s="3" t="s">
        <v>4</v>
      </c>
      <c r="C7" s="6">
        <v>15</v>
      </c>
      <c r="D7">
        <v>31</v>
      </c>
      <c r="E7">
        <v>30</v>
      </c>
      <c r="F7">
        <v>24</v>
      </c>
      <c r="G7">
        <v>24</v>
      </c>
      <c r="H7">
        <v>25</v>
      </c>
      <c r="I7">
        <v>24</v>
      </c>
      <c r="J7">
        <v>23</v>
      </c>
      <c r="K7">
        <v>27</v>
      </c>
      <c r="M7" s="3" t="str">
        <f t="shared" si="8"/>
        <v>100/60</v>
      </c>
      <c r="N7" s="10">
        <f t="shared" si="9"/>
        <v>45</v>
      </c>
      <c r="O7" s="10">
        <f t="shared" si="2"/>
        <v>93</v>
      </c>
      <c r="P7" s="10">
        <f t="shared" si="2"/>
        <v>90</v>
      </c>
      <c r="Q7" s="10">
        <f t="shared" si="10"/>
        <v>72</v>
      </c>
      <c r="R7" s="10">
        <f t="shared" si="11"/>
        <v>72</v>
      </c>
      <c r="S7" s="10">
        <f t="shared" si="12"/>
        <v>75</v>
      </c>
      <c r="T7" s="10">
        <f t="shared" si="13"/>
        <v>72</v>
      </c>
      <c r="U7" s="10">
        <f t="shared" si="14"/>
        <v>69</v>
      </c>
      <c r="V7" s="10">
        <f t="shared" si="15"/>
        <v>81</v>
      </c>
      <c r="W7" s="3"/>
      <c r="X7" s="3" t="s">
        <v>4</v>
      </c>
      <c r="Y7" s="3">
        <v>3</v>
      </c>
      <c r="Z7" s="3">
        <v>20</v>
      </c>
      <c r="AA7" s="3">
        <v>15</v>
      </c>
      <c r="AB7" s="3">
        <v>45</v>
      </c>
    </row>
    <row r="8" spans="1:33" x14ac:dyDescent="0.35">
      <c r="A8" s="3">
        <f t="shared" si="16"/>
        <v>6</v>
      </c>
      <c r="B8" s="3" t="s">
        <v>3</v>
      </c>
      <c r="C8" s="6">
        <v>20</v>
      </c>
      <c r="D8">
        <v>26</v>
      </c>
      <c r="E8">
        <v>24</v>
      </c>
      <c r="F8">
        <v>22</v>
      </c>
      <c r="G8">
        <v>22</v>
      </c>
      <c r="H8">
        <v>25</v>
      </c>
      <c r="I8">
        <v>23</v>
      </c>
      <c r="J8">
        <v>23</v>
      </c>
      <c r="K8">
        <v>26</v>
      </c>
      <c r="M8" s="3" t="str">
        <f t="shared" si="8"/>
        <v>100/80</v>
      </c>
      <c r="N8" s="10">
        <f t="shared" si="9"/>
        <v>60</v>
      </c>
      <c r="O8" s="10">
        <f t="shared" si="2"/>
        <v>78</v>
      </c>
      <c r="P8" s="10">
        <f t="shared" si="2"/>
        <v>72</v>
      </c>
      <c r="Q8" s="10">
        <f t="shared" si="10"/>
        <v>66</v>
      </c>
      <c r="R8" s="10">
        <f t="shared" si="11"/>
        <v>66</v>
      </c>
      <c r="S8" s="10">
        <f t="shared" si="12"/>
        <v>75</v>
      </c>
      <c r="T8" s="10">
        <f t="shared" si="13"/>
        <v>69</v>
      </c>
      <c r="U8" s="10">
        <f t="shared" si="14"/>
        <v>69</v>
      </c>
      <c r="V8" s="10">
        <f t="shared" si="15"/>
        <v>78</v>
      </c>
      <c r="W8" s="3"/>
      <c r="X8" s="3" t="s">
        <v>3</v>
      </c>
      <c r="Y8" s="3">
        <v>3</v>
      </c>
      <c r="Z8" s="3">
        <v>20</v>
      </c>
      <c r="AA8" s="3">
        <v>60</v>
      </c>
      <c r="AB8" s="3">
        <v>60</v>
      </c>
    </row>
    <row r="9" spans="1:33" x14ac:dyDescent="0.35">
      <c r="A9" s="3">
        <f t="shared" si="16"/>
        <v>7</v>
      </c>
      <c r="B9" s="3" t="s">
        <v>4</v>
      </c>
      <c r="C9" s="6">
        <v>29</v>
      </c>
      <c r="D9">
        <v>34</v>
      </c>
      <c r="E9">
        <v>33</v>
      </c>
      <c r="F9">
        <v>32</v>
      </c>
      <c r="G9">
        <v>30</v>
      </c>
      <c r="H9">
        <v>26</v>
      </c>
      <c r="I9">
        <v>25</v>
      </c>
      <c r="J9">
        <v>26</v>
      </c>
      <c r="K9">
        <v>25</v>
      </c>
      <c r="M9" s="3" t="str">
        <f t="shared" si="8"/>
        <v>100/60</v>
      </c>
      <c r="N9" s="10">
        <f t="shared" si="9"/>
        <v>87</v>
      </c>
      <c r="O9" s="10">
        <f t="shared" si="2"/>
        <v>102</v>
      </c>
      <c r="P9" s="10">
        <f t="shared" si="2"/>
        <v>99</v>
      </c>
      <c r="Q9" s="10">
        <f t="shared" si="10"/>
        <v>96</v>
      </c>
      <c r="R9" s="10">
        <f t="shared" si="11"/>
        <v>90</v>
      </c>
      <c r="S9" s="10">
        <f t="shared" si="12"/>
        <v>78</v>
      </c>
      <c r="T9" s="10">
        <f t="shared" si="13"/>
        <v>75</v>
      </c>
      <c r="U9" s="10">
        <f t="shared" si="14"/>
        <v>78</v>
      </c>
      <c r="V9" s="10">
        <f t="shared" si="15"/>
        <v>75</v>
      </c>
      <c r="W9" s="3"/>
      <c r="X9" s="3" t="s">
        <v>4</v>
      </c>
      <c r="Y9" s="3">
        <v>4</v>
      </c>
      <c r="Z9" s="3">
        <v>20</v>
      </c>
      <c r="AA9" s="3">
        <v>12</v>
      </c>
      <c r="AB9" s="3">
        <v>87</v>
      </c>
    </row>
    <row r="10" spans="1:33" x14ac:dyDescent="0.35">
      <c r="A10" s="3">
        <f t="shared" si="16"/>
        <v>8</v>
      </c>
      <c r="B10" s="3" t="s">
        <v>3</v>
      </c>
      <c r="C10" s="6">
        <v>12</v>
      </c>
      <c r="D10">
        <v>31</v>
      </c>
      <c r="E10">
        <v>24</v>
      </c>
      <c r="F10">
        <v>28</v>
      </c>
      <c r="G10">
        <v>30</v>
      </c>
      <c r="H10">
        <v>28</v>
      </c>
      <c r="I10">
        <v>23</v>
      </c>
      <c r="J10">
        <v>24</v>
      </c>
      <c r="K10">
        <v>23</v>
      </c>
      <c r="M10" s="3" t="str">
        <f t="shared" si="8"/>
        <v>100/80</v>
      </c>
      <c r="N10" s="10">
        <f t="shared" si="9"/>
        <v>36</v>
      </c>
      <c r="O10" s="10">
        <f t="shared" si="2"/>
        <v>93</v>
      </c>
      <c r="P10" s="10">
        <f t="shared" si="2"/>
        <v>72</v>
      </c>
      <c r="Q10" s="10">
        <f t="shared" si="10"/>
        <v>84</v>
      </c>
      <c r="R10" s="10">
        <f t="shared" si="11"/>
        <v>90</v>
      </c>
      <c r="S10" s="10">
        <f t="shared" si="12"/>
        <v>84</v>
      </c>
      <c r="T10" s="10">
        <f t="shared" si="13"/>
        <v>69</v>
      </c>
      <c r="U10" s="10">
        <f t="shared" si="14"/>
        <v>72</v>
      </c>
      <c r="V10" s="10">
        <f t="shared" si="15"/>
        <v>69</v>
      </c>
      <c r="W10" s="3"/>
      <c r="X10" s="3" t="s">
        <v>3</v>
      </c>
      <c r="Y10" s="3">
        <v>4</v>
      </c>
      <c r="Z10" s="3">
        <v>20</v>
      </c>
      <c r="AA10" s="3">
        <v>30</v>
      </c>
      <c r="AB10" s="3">
        <v>36</v>
      </c>
    </row>
    <row r="11" spans="1:33" x14ac:dyDescent="0.35">
      <c r="A11" s="3">
        <f t="shared" si="16"/>
        <v>9</v>
      </c>
      <c r="B11" s="3" t="s">
        <v>3</v>
      </c>
      <c r="C11" s="6">
        <v>12</v>
      </c>
      <c r="D11">
        <v>28</v>
      </c>
      <c r="E11">
        <v>26</v>
      </c>
      <c r="F11">
        <v>31</v>
      </c>
      <c r="G11">
        <v>30</v>
      </c>
      <c r="H11">
        <v>27</v>
      </c>
      <c r="I11">
        <v>26</v>
      </c>
      <c r="J11">
        <v>22</v>
      </c>
      <c r="K11">
        <v>29</v>
      </c>
      <c r="M11" s="3" t="str">
        <f t="shared" si="8"/>
        <v>100/80</v>
      </c>
      <c r="N11" s="10">
        <f t="shared" si="9"/>
        <v>36</v>
      </c>
      <c r="O11" s="10">
        <f t="shared" si="2"/>
        <v>84</v>
      </c>
      <c r="P11" s="10">
        <f t="shared" si="2"/>
        <v>78</v>
      </c>
      <c r="Q11" s="10">
        <f t="shared" si="10"/>
        <v>93</v>
      </c>
      <c r="R11" s="10">
        <f t="shared" si="11"/>
        <v>90</v>
      </c>
      <c r="S11" s="10">
        <f t="shared" si="12"/>
        <v>81</v>
      </c>
      <c r="T11" s="10">
        <f t="shared" si="13"/>
        <v>78</v>
      </c>
      <c r="U11" s="10">
        <f t="shared" si="14"/>
        <v>66</v>
      </c>
      <c r="V11" s="10">
        <f t="shared" si="15"/>
        <v>87</v>
      </c>
      <c r="W11" s="3"/>
      <c r="X11" s="3" t="s">
        <v>3</v>
      </c>
      <c r="Y11" s="3">
        <v>5</v>
      </c>
      <c r="Z11" s="3">
        <v>20</v>
      </c>
      <c r="AA11" s="3">
        <v>0</v>
      </c>
      <c r="AB11" s="3">
        <v>36</v>
      </c>
    </row>
    <row r="12" spans="1:33" x14ac:dyDescent="0.35">
      <c r="A12" s="3">
        <f t="shared" si="16"/>
        <v>10</v>
      </c>
      <c r="B12" s="3" t="s">
        <v>4</v>
      </c>
      <c r="C12" s="6">
        <v>0</v>
      </c>
      <c r="D12">
        <v>0</v>
      </c>
      <c r="E12">
        <v>13</v>
      </c>
      <c r="F12">
        <v>18</v>
      </c>
      <c r="G12">
        <v>20</v>
      </c>
      <c r="H12">
        <v>23</v>
      </c>
      <c r="I12">
        <v>27</v>
      </c>
      <c r="J12">
        <v>24</v>
      </c>
      <c r="K12">
        <v>25</v>
      </c>
      <c r="M12" s="3" t="str">
        <f t="shared" si="8"/>
        <v>100/60</v>
      </c>
      <c r="N12" s="10">
        <f t="shared" si="9"/>
        <v>0</v>
      </c>
      <c r="O12" s="10">
        <f t="shared" si="2"/>
        <v>0</v>
      </c>
      <c r="P12" s="10">
        <f t="shared" si="2"/>
        <v>39</v>
      </c>
      <c r="Q12" s="10">
        <f t="shared" si="10"/>
        <v>54</v>
      </c>
      <c r="R12" s="10">
        <f t="shared" si="11"/>
        <v>60</v>
      </c>
      <c r="S12" s="10">
        <f t="shared" si="12"/>
        <v>69</v>
      </c>
      <c r="T12" s="10">
        <f t="shared" si="13"/>
        <v>81</v>
      </c>
      <c r="U12" s="10">
        <f t="shared" si="14"/>
        <v>72</v>
      </c>
      <c r="V12" s="10">
        <f t="shared" si="15"/>
        <v>75</v>
      </c>
      <c r="W12" s="3"/>
      <c r="X12" s="3" t="s">
        <v>4</v>
      </c>
      <c r="Y12" s="3">
        <v>5</v>
      </c>
      <c r="Z12" s="3">
        <v>20</v>
      </c>
      <c r="AA12" s="3">
        <v>0</v>
      </c>
      <c r="AB12" s="3">
        <v>0</v>
      </c>
    </row>
    <row r="13" spans="1:33" x14ac:dyDescent="0.35">
      <c r="A13" s="3">
        <f t="shared" si="16"/>
        <v>11</v>
      </c>
      <c r="B13" s="3" t="s">
        <v>3</v>
      </c>
      <c r="C13" s="6">
        <v>14</v>
      </c>
      <c r="D13">
        <v>23</v>
      </c>
      <c r="E13">
        <v>28</v>
      </c>
      <c r="F13">
        <v>31</v>
      </c>
      <c r="G13">
        <v>25</v>
      </c>
      <c r="H13">
        <v>26</v>
      </c>
      <c r="I13">
        <v>28</v>
      </c>
      <c r="J13">
        <v>28</v>
      </c>
      <c r="K13">
        <v>30</v>
      </c>
      <c r="M13" s="3" t="str">
        <f t="shared" si="8"/>
        <v>100/80</v>
      </c>
      <c r="N13" s="10">
        <f t="shared" si="9"/>
        <v>42</v>
      </c>
      <c r="O13" s="10">
        <f t="shared" si="2"/>
        <v>69</v>
      </c>
      <c r="P13" s="10">
        <f t="shared" si="2"/>
        <v>84</v>
      </c>
      <c r="Q13" s="10">
        <f t="shared" si="10"/>
        <v>93</v>
      </c>
      <c r="R13" s="10">
        <f t="shared" si="11"/>
        <v>75</v>
      </c>
      <c r="S13" s="10">
        <f t="shared" si="12"/>
        <v>78</v>
      </c>
      <c r="T13" s="10">
        <f t="shared" si="13"/>
        <v>84</v>
      </c>
      <c r="U13" s="10">
        <f t="shared" si="14"/>
        <v>84</v>
      </c>
      <c r="V13" s="10">
        <f t="shared" si="15"/>
        <v>90</v>
      </c>
      <c r="W13" s="3"/>
      <c r="X13" s="3" t="s">
        <v>3</v>
      </c>
      <c r="Y13" s="3">
        <v>6</v>
      </c>
      <c r="Z13" s="3">
        <v>20</v>
      </c>
      <c r="AA13" s="3">
        <v>69</v>
      </c>
      <c r="AB13" s="3">
        <v>42</v>
      </c>
    </row>
    <row r="14" spans="1:33" x14ac:dyDescent="0.35">
      <c r="A14" s="3">
        <f t="shared" si="16"/>
        <v>12</v>
      </c>
      <c r="B14" s="3" t="s">
        <v>4</v>
      </c>
      <c r="C14" s="6">
        <v>29</v>
      </c>
      <c r="D14">
        <v>30</v>
      </c>
      <c r="E14">
        <v>29</v>
      </c>
      <c r="F14">
        <v>24</v>
      </c>
      <c r="G14">
        <v>22</v>
      </c>
      <c r="H14">
        <v>22</v>
      </c>
      <c r="I14">
        <v>23</v>
      </c>
      <c r="J14">
        <v>23</v>
      </c>
      <c r="K14">
        <v>22</v>
      </c>
      <c r="M14" s="3" t="str">
        <f t="shared" si="8"/>
        <v>100/60</v>
      </c>
      <c r="N14" s="10">
        <f t="shared" si="9"/>
        <v>87</v>
      </c>
      <c r="O14" s="10">
        <f t="shared" si="2"/>
        <v>90</v>
      </c>
      <c r="P14" s="10">
        <f t="shared" si="2"/>
        <v>87</v>
      </c>
      <c r="Q14" s="10">
        <f t="shared" si="10"/>
        <v>72</v>
      </c>
      <c r="R14" s="10">
        <f t="shared" si="11"/>
        <v>66</v>
      </c>
      <c r="S14" s="10">
        <f t="shared" si="12"/>
        <v>66</v>
      </c>
      <c r="T14" s="10">
        <f t="shared" si="13"/>
        <v>69</v>
      </c>
      <c r="U14" s="10">
        <f t="shared" si="14"/>
        <v>69</v>
      </c>
      <c r="V14" s="10">
        <f t="shared" si="15"/>
        <v>66</v>
      </c>
      <c r="W14" s="3"/>
      <c r="X14" s="3" t="s">
        <v>4</v>
      </c>
      <c r="Y14" s="3">
        <v>6</v>
      </c>
      <c r="Z14" s="3">
        <v>20</v>
      </c>
      <c r="AA14" s="3">
        <v>48</v>
      </c>
      <c r="AB14" s="3">
        <v>87</v>
      </c>
    </row>
    <row r="15" spans="1:33" x14ac:dyDescent="0.35">
      <c r="A15" s="3">
        <f t="shared" si="16"/>
        <v>13</v>
      </c>
      <c r="B15" s="3" t="s">
        <v>3</v>
      </c>
      <c r="C15" s="6">
        <v>0</v>
      </c>
      <c r="D15">
        <v>0</v>
      </c>
      <c r="E15">
        <v>5</v>
      </c>
      <c r="F15">
        <v>16</v>
      </c>
      <c r="G15">
        <v>28</v>
      </c>
      <c r="H15">
        <v>27</v>
      </c>
      <c r="I15">
        <v>21</v>
      </c>
      <c r="J15">
        <v>22</v>
      </c>
      <c r="K15">
        <v>23</v>
      </c>
      <c r="M15" s="3" t="str">
        <f t="shared" si="8"/>
        <v>100/80</v>
      </c>
      <c r="N15" s="10">
        <f t="shared" si="9"/>
        <v>0</v>
      </c>
      <c r="O15" s="10">
        <f t="shared" si="2"/>
        <v>0</v>
      </c>
      <c r="P15" s="10">
        <f t="shared" si="2"/>
        <v>15</v>
      </c>
      <c r="Q15" s="10">
        <f t="shared" si="10"/>
        <v>48</v>
      </c>
      <c r="R15" s="10">
        <f t="shared" si="11"/>
        <v>84</v>
      </c>
      <c r="S15" s="10">
        <f t="shared" si="12"/>
        <v>81</v>
      </c>
      <c r="T15" s="10">
        <f t="shared" si="13"/>
        <v>63</v>
      </c>
      <c r="U15" s="10">
        <f t="shared" si="14"/>
        <v>66</v>
      </c>
      <c r="V15" s="10">
        <f t="shared" si="15"/>
        <v>69</v>
      </c>
      <c r="W15" s="3"/>
      <c r="X15" s="3" t="s">
        <v>3</v>
      </c>
      <c r="Y15" s="3">
        <v>7</v>
      </c>
      <c r="Z15" s="3">
        <v>20</v>
      </c>
      <c r="AA15" s="3">
        <v>57</v>
      </c>
      <c r="AB15" s="3">
        <v>0</v>
      </c>
    </row>
    <row r="16" spans="1:33" x14ac:dyDescent="0.35">
      <c r="A16" s="3">
        <f t="shared" si="16"/>
        <v>14</v>
      </c>
      <c r="B16" s="3" t="s">
        <v>3</v>
      </c>
      <c r="C16" s="6">
        <v>0</v>
      </c>
      <c r="D16">
        <v>0</v>
      </c>
      <c r="E16">
        <v>0</v>
      </c>
      <c r="F16">
        <v>9</v>
      </c>
      <c r="G16">
        <v>25</v>
      </c>
      <c r="H16">
        <v>26</v>
      </c>
      <c r="I16">
        <v>25</v>
      </c>
      <c r="J16">
        <v>25</v>
      </c>
      <c r="K16">
        <v>24</v>
      </c>
      <c r="M16" s="3" t="str">
        <f t="shared" si="8"/>
        <v>100/80</v>
      </c>
      <c r="N16" s="10">
        <f t="shared" si="9"/>
        <v>0</v>
      </c>
      <c r="O16" s="10">
        <f t="shared" si="2"/>
        <v>0</v>
      </c>
      <c r="P16" s="10">
        <f t="shared" si="2"/>
        <v>0</v>
      </c>
      <c r="Q16" s="10">
        <f t="shared" si="10"/>
        <v>27</v>
      </c>
      <c r="R16" s="10">
        <f t="shared" si="11"/>
        <v>75</v>
      </c>
      <c r="S16" s="10">
        <f t="shared" si="12"/>
        <v>78</v>
      </c>
      <c r="T16" s="10">
        <f t="shared" si="13"/>
        <v>75</v>
      </c>
      <c r="U16" s="10">
        <f t="shared" si="14"/>
        <v>75</v>
      </c>
      <c r="V16" s="10">
        <f t="shared" si="15"/>
        <v>72</v>
      </c>
      <c r="W16" s="3"/>
      <c r="X16" s="3" t="s">
        <v>3</v>
      </c>
      <c r="Y16" s="3">
        <v>8</v>
      </c>
      <c r="Z16" s="3">
        <v>20</v>
      </c>
      <c r="AA16" s="3">
        <v>0</v>
      </c>
      <c r="AB16" s="3">
        <v>0</v>
      </c>
    </row>
    <row r="17" spans="1:28" x14ac:dyDescent="0.35">
      <c r="A17" s="3">
        <f t="shared" si="16"/>
        <v>15</v>
      </c>
      <c r="B17" s="3" t="s">
        <v>3</v>
      </c>
      <c r="C17" s="6">
        <v>0</v>
      </c>
      <c r="D17">
        <v>28</v>
      </c>
      <c r="E17">
        <v>29</v>
      </c>
      <c r="F17">
        <v>27</v>
      </c>
      <c r="G17">
        <v>27</v>
      </c>
      <c r="H17">
        <v>25</v>
      </c>
      <c r="I17">
        <v>24</v>
      </c>
      <c r="J17">
        <v>22</v>
      </c>
      <c r="K17">
        <v>22</v>
      </c>
      <c r="M17" s="3" t="str">
        <f t="shared" si="8"/>
        <v>100/80</v>
      </c>
      <c r="N17" s="10">
        <f t="shared" si="9"/>
        <v>0</v>
      </c>
      <c r="O17" s="10">
        <f t="shared" si="2"/>
        <v>84</v>
      </c>
      <c r="P17" s="10">
        <f t="shared" si="2"/>
        <v>87</v>
      </c>
      <c r="Q17" s="10">
        <f t="shared" si="10"/>
        <v>81</v>
      </c>
      <c r="R17" s="10">
        <f t="shared" si="11"/>
        <v>81</v>
      </c>
      <c r="S17" s="10">
        <f t="shared" si="12"/>
        <v>75</v>
      </c>
      <c r="T17" s="10">
        <f t="shared" si="13"/>
        <v>72</v>
      </c>
      <c r="U17" s="10">
        <f t="shared" si="14"/>
        <v>66</v>
      </c>
      <c r="V17" s="10">
        <f t="shared" si="15"/>
        <v>66</v>
      </c>
      <c r="W17" s="3"/>
      <c r="X17" s="3" t="s">
        <v>3</v>
      </c>
      <c r="Y17" s="3">
        <v>9</v>
      </c>
      <c r="Z17" s="3">
        <v>20</v>
      </c>
      <c r="AA17" s="3">
        <v>24</v>
      </c>
      <c r="AB17" s="3">
        <v>0</v>
      </c>
    </row>
    <row r="18" spans="1:28" x14ac:dyDescent="0.35">
      <c r="A18" s="3">
        <f t="shared" si="16"/>
        <v>16</v>
      </c>
      <c r="B18" s="3" t="s">
        <v>3</v>
      </c>
      <c r="C18" s="6">
        <v>0</v>
      </c>
      <c r="D18">
        <v>18</v>
      </c>
      <c r="E18">
        <v>26</v>
      </c>
      <c r="F18">
        <v>23</v>
      </c>
      <c r="G18">
        <v>22</v>
      </c>
      <c r="H18">
        <v>24</v>
      </c>
      <c r="I18">
        <v>22</v>
      </c>
      <c r="J18">
        <v>26</v>
      </c>
      <c r="K18">
        <v>21</v>
      </c>
      <c r="M18" s="3" t="str">
        <f t="shared" si="8"/>
        <v>100/80</v>
      </c>
      <c r="N18" s="10">
        <f t="shared" si="9"/>
        <v>0</v>
      </c>
      <c r="O18" s="10">
        <f t="shared" si="2"/>
        <v>54</v>
      </c>
      <c r="P18" s="10">
        <f t="shared" si="2"/>
        <v>78</v>
      </c>
      <c r="Q18" s="10">
        <f t="shared" si="10"/>
        <v>69</v>
      </c>
      <c r="R18" s="10">
        <f t="shared" si="11"/>
        <v>66</v>
      </c>
      <c r="S18" s="10">
        <f t="shared" si="12"/>
        <v>72</v>
      </c>
      <c r="T18" s="10">
        <f t="shared" si="13"/>
        <v>66</v>
      </c>
      <c r="U18" s="10">
        <f t="shared" si="14"/>
        <v>78</v>
      </c>
      <c r="V18" s="10">
        <f t="shared" si="15"/>
        <v>63</v>
      </c>
      <c r="W18" s="3"/>
      <c r="X18" s="3" t="s">
        <v>3</v>
      </c>
      <c r="Y18" s="3">
        <v>10</v>
      </c>
      <c r="Z18" s="3">
        <v>20</v>
      </c>
      <c r="AA18" s="3">
        <v>54</v>
      </c>
      <c r="AB18" s="3">
        <v>0</v>
      </c>
    </row>
    <row r="19" spans="1:28" x14ac:dyDescent="0.35">
      <c r="A19" s="3">
        <f t="shared" si="16"/>
        <v>17</v>
      </c>
      <c r="B19" s="3" t="s">
        <v>3</v>
      </c>
      <c r="C19" s="6">
        <v>20</v>
      </c>
      <c r="D19">
        <v>22</v>
      </c>
      <c r="E19">
        <v>20</v>
      </c>
      <c r="F19">
        <v>20</v>
      </c>
      <c r="G19">
        <v>21</v>
      </c>
      <c r="H19">
        <v>21</v>
      </c>
      <c r="I19">
        <v>22</v>
      </c>
      <c r="J19">
        <v>20</v>
      </c>
      <c r="K19">
        <v>21</v>
      </c>
      <c r="M19" s="3" t="str">
        <f t="shared" si="8"/>
        <v>100/80</v>
      </c>
      <c r="N19" s="10">
        <f t="shared" si="9"/>
        <v>60</v>
      </c>
      <c r="O19" s="10">
        <f t="shared" si="9"/>
        <v>66</v>
      </c>
      <c r="P19" s="10">
        <f t="shared" si="9"/>
        <v>60</v>
      </c>
      <c r="Q19" s="10">
        <f t="shared" si="10"/>
        <v>60</v>
      </c>
      <c r="R19" s="10">
        <f t="shared" si="11"/>
        <v>63</v>
      </c>
      <c r="S19" s="10">
        <f t="shared" si="12"/>
        <v>63</v>
      </c>
      <c r="T19" s="10">
        <f t="shared" si="13"/>
        <v>66</v>
      </c>
      <c r="U19" s="10">
        <f t="shared" si="14"/>
        <v>60</v>
      </c>
      <c r="V19" s="10">
        <f t="shared" si="15"/>
        <v>63</v>
      </c>
      <c r="W19" s="3"/>
      <c r="X19" s="3" t="s">
        <v>3</v>
      </c>
      <c r="Y19" s="3">
        <v>11</v>
      </c>
      <c r="Z19" s="3">
        <v>20</v>
      </c>
      <c r="AA19" s="3">
        <v>30</v>
      </c>
      <c r="AB19" s="3">
        <v>60</v>
      </c>
    </row>
    <row r="20" spans="1:28" x14ac:dyDescent="0.35">
      <c r="A20" s="3">
        <f t="shared" si="16"/>
        <v>18</v>
      </c>
      <c r="B20" s="3" t="s">
        <v>3</v>
      </c>
      <c r="C20" s="6">
        <v>29</v>
      </c>
      <c r="D20">
        <v>28</v>
      </c>
      <c r="E20">
        <v>26</v>
      </c>
      <c r="F20">
        <v>22</v>
      </c>
      <c r="G20">
        <v>22</v>
      </c>
      <c r="H20">
        <v>20</v>
      </c>
      <c r="I20">
        <v>22</v>
      </c>
      <c r="J20">
        <v>22</v>
      </c>
      <c r="K20">
        <v>22</v>
      </c>
      <c r="M20" s="3" t="str">
        <f t="shared" si="8"/>
        <v>100/80</v>
      </c>
      <c r="N20" s="10">
        <f t="shared" si="9"/>
        <v>87</v>
      </c>
      <c r="O20" s="10">
        <f t="shared" si="9"/>
        <v>84</v>
      </c>
      <c r="P20" s="10">
        <f t="shared" si="9"/>
        <v>78</v>
      </c>
      <c r="Q20" s="10">
        <f t="shared" si="10"/>
        <v>66</v>
      </c>
      <c r="R20" s="10">
        <f t="shared" si="11"/>
        <v>66</v>
      </c>
      <c r="S20" s="10">
        <f t="shared" si="12"/>
        <v>60</v>
      </c>
      <c r="T20" s="10">
        <f t="shared" si="13"/>
        <v>66</v>
      </c>
      <c r="U20" s="10">
        <f t="shared" si="14"/>
        <v>66</v>
      </c>
      <c r="V20" s="10">
        <f t="shared" si="15"/>
        <v>66</v>
      </c>
      <c r="W20" s="3"/>
      <c r="X20" s="3" t="s">
        <v>3</v>
      </c>
      <c r="Y20" s="3">
        <v>12</v>
      </c>
      <c r="Z20" s="3">
        <v>20</v>
      </c>
      <c r="AA20" s="3">
        <v>18</v>
      </c>
      <c r="AB20" s="3">
        <v>87</v>
      </c>
    </row>
    <row r="21" spans="1:28" x14ac:dyDescent="0.35">
      <c r="A21" s="3">
        <f t="shared" si="16"/>
        <v>19</v>
      </c>
      <c r="B21" s="3" t="s">
        <v>4</v>
      </c>
      <c r="C21" s="6">
        <v>21</v>
      </c>
      <c r="D21">
        <v>20</v>
      </c>
      <c r="E21">
        <v>20</v>
      </c>
      <c r="F21">
        <v>20</v>
      </c>
      <c r="G21">
        <v>34</v>
      </c>
      <c r="H21">
        <v>34</v>
      </c>
      <c r="I21">
        <v>31</v>
      </c>
      <c r="J21">
        <v>32</v>
      </c>
      <c r="K21">
        <v>26</v>
      </c>
      <c r="M21" s="3" t="str">
        <f t="shared" si="8"/>
        <v>100/60</v>
      </c>
      <c r="N21" s="10">
        <f t="shared" si="9"/>
        <v>63</v>
      </c>
      <c r="O21" s="10">
        <f t="shared" si="9"/>
        <v>60</v>
      </c>
      <c r="P21" s="10">
        <f t="shared" si="9"/>
        <v>60</v>
      </c>
      <c r="Q21" s="10">
        <f t="shared" si="10"/>
        <v>60</v>
      </c>
      <c r="R21" s="10">
        <f t="shared" si="11"/>
        <v>102</v>
      </c>
      <c r="S21" s="10">
        <f t="shared" si="12"/>
        <v>102</v>
      </c>
      <c r="T21" s="10">
        <f t="shared" si="13"/>
        <v>93</v>
      </c>
      <c r="U21" s="10">
        <f t="shared" si="14"/>
        <v>96</v>
      </c>
      <c r="V21" s="10">
        <f t="shared" si="15"/>
        <v>78</v>
      </c>
      <c r="W21" s="3"/>
      <c r="X21" s="3" t="s">
        <v>4</v>
      </c>
      <c r="Y21" s="3">
        <v>7</v>
      </c>
      <c r="Z21" s="3">
        <v>20</v>
      </c>
      <c r="AA21" s="3">
        <v>9</v>
      </c>
      <c r="AB21" s="3">
        <v>63</v>
      </c>
    </row>
    <row r="22" spans="1:28" x14ac:dyDescent="0.35">
      <c r="A22" s="3">
        <f t="shared" si="16"/>
        <v>20</v>
      </c>
      <c r="B22" s="3" t="s">
        <v>4</v>
      </c>
      <c r="C22" s="6">
        <v>32</v>
      </c>
      <c r="D22">
        <v>33</v>
      </c>
      <c r="E22">
        <v>26</v>
      </c>
      <c r="F22">
        <v>22</v>
      </c>
      <c r="G22">
        <v>24</v>
      </c>
      <c r="H22">
        <v>24</v>
      </c>
      <c r="I22">
        <v>28</v>
      </c>
      <c r="J22">
        <v>29</v>
      </c>
      <c r="K22">
        <v>29</v>
      </c>
      <c r="M22" s="3" t="str">
        <f t="shared" si="8"/>
        <v>100/60</v>
      </c>
      <c r="N22" s="10">
        <f t="shared" si="9"/>
        <v>96</v>
      </c>
      <c r="O22" s="10">
        <f t="shared" si="9"/>
        <v>99</v>
      </c>
      <c r="P22" s="10">
        <f t="shared" si="9"/>
        <v>78</v>
      </c>
      <c r="Q22" s="10">
        <f t="shared" si="10"/>
        <v>66</v>
      </c>
      <c r="R22" s="10">
        <f t="shared" si="11"/>
        <v>72</v>
      </c>
      <c r="S22" s="10">
        <f t="shared" si="12"/>
        <v>72</v>
      </c>
      <c r="T22" s="10">
        <f t="shared" si="13"/>
        <v>84</v>
      </c>
      <c r="U22" s="10">
        <f t="shared" si="14"/>
        <v>87</v>
      </c>
      <c r="V22" s="10">
        <f t="shared" si="15"/>
        <v>87</v>
      </c>
      <c r="W22" s="3"/>
      <c r="X22" s="3" t="s">
        <v>4</v>
      </c>
      <c r="Y22" s="3">
        <v>8</v>
      </c>
      <c r="Z22" s="3">
        <v>20</v>
      </c>
      <c r="AA22" s="3">
        <v>24</v>
      </c>
      <c r="AB22" s="3">
        <v>96</v>
      </c>
    </row>
    <row r="23" spans="1:28" x14ac:dyDescent="0.35">
      <c r="A23" s="3">
        <f t="shared" si="16"/>
        <v>21</v>
      </c>
      <c r="B23" s="3" t="s">
        <v>4</v>
      </c>
      <c r="C23" s="6">
        <v>32</v>
      </c>
      <c r="D23">
        <v>34</v>
      </c>
      <c r="E23">
        <v>31</v>
      </c>
      <c r="F23">
        <v>29</v>
      </c>
      <c r="G23">
        <v>25</v>
      </c>
      <c r="H23">
        <v>25</v>
      </c>
      <c r="I23">
        <v>26</v>
      </c>
      <c r="J23">
        <v>23</v>
      </c>
      <c r="K23">
        <v>22</v>
      </c>
      <c r="M23" s="3" t="str">
        <f t="shared" si="8"/>
        <v>100/60</v>
      </c>
      <c r="N23" s="10">
        <f t="shared" si="9"/>
        <v>96</v>
      </c>
      <c r="O23" s="10">
        <f t="shared" si="9"/>
        <v>102</v>
      </c>
      <c r="P23" s="10">
        <f t="shared" si="9"/>
        <v>93</v>
      </c>
      <c r="Q23" s="10">
        <f t="shared" si="10"/>
        <v>87</v>
      </c>
      <c r="R23" s="10">
        <f t="shared" si="11"/>
        <v>75</v>
      </c>
      <c r="S23" s="10">
        <f t="shared" si="12"/>
        <v>75</v>
      </c>
      <c r="T23" s="10">
        <f t="shared" si="13"/>
        <v>78</v>
      </c>
      <c r="U23" s="10">
        <f t="shared" si="14"/>
        <v>69</v>
      </c>
      <c r="V23" s="10">
        <f t="shared" si="15"/>
        <v>66</v>
      </c>
      <c r="W23" s="3"/>
      <c r="X23" s="3" t="s">
        <v>4</v>
      </c>
      <c r="Y23" s="3">
        <v>9</v>
      </c>
      <c r="Z23" s="3">
        <v>20</v>
      </c>
      <c r="AA23" s="3">
        <v>12</v>
      </c>
      <c r="AB23" s="3">
        <v>96</v>
      </c>
    </row>
    <row r="24" spans="1:28" x14ac:dyDescent="0.35">
      <c r="A24" s="3">
        <f t="shared" si="16"/>
        <v>22</v>
      </c>
      <c r="B24" s="3" t="s">
        <v>4</v>
      </c>
      <c r="C24" s="6">
        <v>0</v>
      </c>
      <c r="D24">
        <v>6</v>
      </c>
      <c r="E24">
        <v>25</v>
      </c>
      <c r="F24">
        <v>34</v>
      </c>
      <c r="G24">
        <v>23</v>
      </c>
      <c r="H24">
        <v>30</v>
      </c>
      <c r="I24">
        <v>26</v>
      </c>
      <c r="J24">
        <v>30</v>
      </c>
      <c r="K24">
        <v>23</v>
      </c>
      <c r="M24" s="3" t="str">
        <f t="shared" si="8"/>
        <v>100/60</v>
      </c>
      <c r="N24" s="10">
        <f t="shared" si="9"/>
        <v>0</v>
      </c>
      <c r="O24" s="10">
        <f t="shared" si="9"/>
        <v>18</v>
      </c>
      <c r="P24" s="10">
        <f t="shared" si="9"/>
        <v>75</v>
      </c>
      <c r="Q24" s="10">
        <f t="shared" si="10"/>
        <v>102</v>
      </c>
      <c r="R24" s="10">
        <f t="shared" si="11"/>
        <v>69</v>
      </c>
      <c r="S24" s="10">
        <f t="shared" si="12"/>
        <v>90</v>
      </c>
      <c r="T24" s="10">
        <f t="shared" si="13"/>
        <v>78</v>
      </c>
      <c r="U24" s="10">
        <f t="shared" si="14"/>
        <v>90</v>
      </c>
      <c r="V24" s="10">
        <f t="shared" si="15"/>
        <v>69</v>
      </c>
      <c r="W24" s="3"/>
      <c r="X24" s="3" t="s">
        <v>4</v>
      </c>
      <c r="Y24" s="3">
        <v>10</v>
      </c>
      <c r="Z24" s="3">
        <v>20</v>
      </c>
      <c r="AA24" s="3">
        <v>0</v>
      </c>
      <c r="AB24" s="3">
        <v>0</v>
      </c>
    </row>
    <row r="25" spans="1:28" x14ac:dyDescent="0.35">
      <c r="A25" s="3">
        <f t="shared" si="16"/>
        <v>23</v>
      </c>
      <c r="B25" s="3" t="s">
        <v>4</v>
      </c>
      <c r="C25" s="6">
        <v>27</v>
      </c>
      <c r="D25">
        <v>31</v>
      </c>
      <c r="E25">
        <v>28</v>
      </c>
      <c r="F25">
        <v>24</v>
      </c>
      <c r="G25">
        <v>24</v>
      </c>
      <c r="H25">
        <v>25</v>
      </c>
      <c r="I25">
        <v>25</v>
      </c>
      <c r="J25">
        <v>18</v>
      </c>
      <c r="K25">
        <v>29</v>
      </c>
      <c r="M25" s="3" t="str">
        <f t="shared" si="8"/>
        <v>100/60</v>
      </c>
      <c r="N25" s="10">
        <f t="shared" si="9"/>
        <v>81</v>
      </c>
      <c r="O25" s="10">
        <f t="shared" si="9"/>
        <v>93</v>
      </c>
      <c r="P25" s="10">
        <f t="shared" si="9"/>
        <v>84</v>
      </c>
      <c r="Q25" s="10">
        <f t="shared" si="10"/>
        <v>72</v>
      </c>
      <c r="R25" s="10">
        <f t="shared" si="11"/>
        <v>72</v>
      </c>
      <c r="S25" s="10">
        <f t="shared" si="12"/>
        <v>75</v>
      </c>
      <c r="T25" s="10">
        <f t="shared" si="13"/>
        <v>75</v>
      </c>
      <c r="U25" s="10">
        <f t="shared" si="14"/>
        <v>54</v>
      </c>
      <c r="V25" s="10">
        <f t="shared" si="15"/>
        <v>87</v>
      </c>
      <c r="W25" s="3"/>
      <c r="X25" s="3" t="s">
        <v>4</v>
      </c>
      <c r="Y25" s="3">
        <v>11</v>
      </c>
      <c r="Z25" s="3">
        <v>20</v>
      </c>
      <c r="AA25" s="3">
        <v>0</v>
      </c>
      <c r="AB25" s="3">
        <v>81</v>
      </c>
    </row>
    <row r="26" spans="1:28" x14ac:dyDescent="0.35">
      <c r="A26" s="3">
        <f t="shared" si="16"/>
        <v>24</v>
      </c>
      <c r="B26" s="3" t="s">
        <v>4</v>
      </c>
      <c r="C26" s="6">
        <v>30</v>
      </c>
      <c r="D26">
        <v>31</v>
      </c>
      <c r="E26">
        <v>28</v>
      </c>
      <c r="F26">
        <v>27</v>
      </c>
      <c r="G26">
        <v>24</v>
      </c>
      <c r="H26">
        <v>24</v>
      </c>
      <c r="I26" s="11">
        <f>AVERAGE(G26:H26)</f>
        <v>24</v>
      </c>
      <c r="J26" s="11">
        <f t="shared" ref="J26:K26" si="17">AVERAGE(H26:I26)</f>
        <v>24</v>
      </c>
      <c r="K26" s="11">
        <f t="shared" si="17"/>
        <v>24</v>
      </c>
      <c r="M26" s="3" t="str">
        <f t="shared" si="8"/>
        <v>100/60</v>
      </c>
      <c r="N26" s="10">
        <f t="shared" si="9"/>
        <v>90</v>
      </c>
      <c r="O26" s="10">
        <f t="shared" si="9"/>
        <v>93</v>
      </c>
      <c r="P26" s="10">
        <f t="shared" si="9"/>
        <v>84</v>
      </c>
      <c r="Q26" s="10">
        <f t="shared" si="10"/>
        <v>81</v>
      </c>
      <c r="R26" s="10">
        <f t="shared" si="11"/>
        <v>72</v>
      </c>
      <c r="S26" s="10">
        <f t="shared" si="12"/>
        <v>72</v>
      </c>
      <c r="T26" s="10">
        <f t="shared" si="13"/>
        <v>72</v>
      </c>
      <c r="U26" s="10">
        <f t="shared" si="14"/>
        <v>72</v>
      </c>
      <c r="V26" s="10">
        <f t="shared" si="15"/>
        <v>72</v>
      </c>
      <c r="W26" s="3"/>
      <c r="X26" s="3" t="s">
        <v>4</v>
      </c>
      <c r="Y26" s="3">
        <v>12</v>
      </c>
      <c r="Z26" s="3">
        <v>20</v>
      </c>
      <c r="AA26" s="3">
        <v>9</v>
      </c>
      <c r="AB26" s="3">
        <v>90</v>
      </c>
    </row>
    <row r="27" spans="1:28" x14ac:dyDescent="0.35">
      <c r="A27" s="3">
        <f t="shared" si="16"/>
        <v>25</v>
      </c>
      <c r="B27" s="3" t="s">
        <v>5</v>
      </c>
      <c r="C27" s="6">
        <v>17</v>
      </c>
      <c r="D27">
        <v>19</v>
      </c>
      <c r="E27">
        <v>20</v>
      </c>
      <c r="F27">
        <v>20</v>
      </c>
      <c r="G27">
        <v>21</v>
      </c>
      <c r="H27">
        <v>22</v>
      </c>
      <c r="I27" s="11">
        <f>AVERAGE(G27:H27)</f>
        <v>21.5</v>
      </c>
      <c r="J27" s="11">
        <f t="shared" ref="J27:K27" si="18">AVERAGE(H27:I27)</f>
        <v>21.75</v>
      </c>
      <c r="K27" s="11">
        <f t="shared" si="18"/>
        <v>21.625</v>
      </c>
      <c r="M27" s="3" t="str">
        <f t="shared" si="8"/>
        <v>100/0</v>
      </c>
      <c r="N27" s="10">
        <f t="shared" si="9"/>
        <v>51</v>
      </c>
      <c r="O27" s="10">
        <f t="shared" si="9"/>
        <v>57</v>
      </c>
      <c r="P27" s="10">
        <f t="shared" si="9"/>
        <v>60</v>
      </c>
      <c r="Q27" s="10">
        <f t="shared" si="10"/>
        <v>60</v>
      </c>
      <c r="R27" s="10">
        <f t="shared" si="11"/>
        <v>63</v>
      </c>
      <c r="S27" s="10">
        <f t="shared" si="12"/>
        <v>66</v>
      </c>
      <c r="T27" s="10">
        <f t="shared" si="13"/>
        <v>64.5</v>
      </c>
      <c r="U27" s="10">
        <f t="shared" si="14"/>
        <v>65.25</v>
      </c>
      <c r="V27" s="10">
        <f t="shared" si="15"/>
        <v>64.875</v>
      </c>
      <c r="W27" s="3"/>
      <c r="X27" s="3" t="s">
        <v>5</v>
      </c>
      <c r="Y27" s="3">
        <v>1</v>
      </c>
      <c r="Z27" s="3">
        <v>20</v>
      </c>
      <c r="AA27" s="3">
        <v>0</v>
      </c>
      <c r="AB27" s="3">
        <v>51</v>
      </c>
    </row>
    <row r="28" spans="1:28" x14ac:dyDescent="0.35">
      <c r="A28" s="3">
        <f t="shared" si="16"/>
        <v>26</v>
      </c>
      <c r="B28" s="3" t="s">
        <v>5</v>
      </c>
      <c r="C28" s="6">
        <v>23</v>
      </c>
      <c r="D28">
        <v>23</v>
      </c>
      <c r="E28">
        <v>21</v>
      </c>
      <c r="F28">
        <v>24</v>
      </c>
      <c r="G28">
        <v>22</v>
      </c>
      <c r="H28">
        <v>22</v>
      </c>
      <c r="I28">
        <v>24</v>
      </c>
      <c r="J28">
        <v>21</v>
      </c>
      <c r="K28">
        <v>21</v>
      </c>
      <c r="M28" s="3" t="str">
        <f t="shared" si="8"/>
        <v>100/0</v>
      </c>
      <c r="N28" s="10">
        <f t="shared" si="9"/>
        <v>69</v>
      </c>
      <c r="O28" s="10">
        <f t="shared" si="9"/>
        <v>69</v>
      </c>
      <c r="P28" s="10">
        <f t="shared" si="9"/>
        <v>63</v>
      </c>
      <c r="Q28" s="10">
        <f t="shared" si="10"/>
        <v>72</v>
      </c>
      <c r="R28" s="10">
        <f t="shared" si="11"/>
        <v>66</v>
      </c>
      <c r="S28" s="10">
        <f t="shared" si="12"/>
        <v>66</v>
      </c>
      <c r="T28" s="10">
        <f t="shared" si="13"/>
        <v>72</v>
      </c>
      <c r="U28" s="10">
        <f t="shared" si="14"/>
        <v>63</v>
      </c>
      <c r="V28" s="10">
        <f t="shared" si="15"/>
        <v>63</v>
      </c>
      <c r="W28" s="3"/>
      <c r="X28" s="3" t="s">
        <v>5</v>
      </c>
      <c r="Y28" s="3">
        <v>2</v>
      </c>
      <c r="Z28" s="3">
        <v>20</v>
      </c>
      <c r="AA28" s="3">
        <v>15</v>
      </c>
      <c r="AB28" s="3">
        <v>69</v>
      </c>
    </row>
    <row r="29" spans="1:28" x14ac:dyDescent="0.35">
      <c r="A29" s="3">
        <f t="shared" si="16"/>
        <v>27</v>
      </c>
      <c r="B29" s="3" t="s">
        <v>5</v>
      </c>
      <c r="C29" s="6">
        <v>21</v>
      </c>
      <c r="D29">
        <v>19</v>
      </c>
      <c r="E29">
        <v>22</v>
      </c>
      <c r="F29">
        <v>21</v>
      </c>
      <c r="G29">
        <v>18</v>
      </c>
      <c r="H29">
        <v>18</v>
      </c>
      <c r="I29">
        <v>19</v>
      </c>
      <c r="J29">
        <v>19</v>
      </c>
      <c r="K29">
        <v>20</v>
      </c>
      <c r="M29" s="3" t="str">
        <f t="shared" si="8"/>
        <v>100/0</v>
      </c>
      <c r="N29" s="10">
        <f t="shared" si="9"/>
        <v>63</v>
      </c>
      <c r="O29" s="10">
        <f t="shared" si="9"/>
        <v>57</v>
      </c>
      <c r="P29" s="10">
        <f t="shared" si="9"/>
        <v>66</v>
      </c>
      <c r="Q29" s="10">
        <f t="shared" si="10"/>
        <v>63</v>
      </c>
      <c r="R29" s="10">
        <f t="shared" si="11"/>
        <v>54</v>
      </c>
      <c r="S29" s="10">
        <f t="shared" si="12"/>
        <v>54</v>
      </c>
      <c r="T29" s="10">
        <f t="shared" si="13"/>
        <v>57</v>
      </c>
      <c r="U29" s="10">
        <f t="shared" si="14"/>
        <v>57</v>
      </c>
      <c r="V29" s="10">
        <f t="shared" si="15"/>
        <v>60</v>
      </c>
      <c r="W29" s="3"/>
      <c r="X29" s="3" t="s">
        <v>5</v>
      </c>
      <c r="Y29" s="3">
        <v>3</v>
      </c>
      <c r="Z29" s="3">
        <v>20</v>
      </c>
      <c r="AA29" s="3">
        <v>0</v>
      </c>
      <c r="AB29" s="3">
        <v>63</v>
      </c>
    </row>
    <row r="30" spans="1:28" x14ac:dyDescent="0.35">
      <c r="A30" s="3">
        <f t="shared" si="16"/>
        <v>28</v>
      </c>
      <c r="B30" s="3" t="s">
        <v>5</v>
      </c>
      <c r="C30" s="6">
        <v>20</v>
      </c>
      <c r="D30">
        <v>22</v>
      </c>
      <c r="E30">
        <v>23</v>
      </c>
      <c r="F30">
        <v>25</v>
      </c>
      <c r="G30">
        <v>21</v>
      </c>
      <c r="H30">
        <v>22</v>
      </c>
      <c r="I30">
        <v>20</v>
      </c>
      <c r="J30">
        <v>18</v>
      </c>
      <c r="K30">
        <v>22</v>
      </c>
      <c r="M30" s="3" t="str">
        <f t="shared" si="8"/>
        <v>100/0</v>
      </c>
      <c r="N30" s="10">
        <f t="shared" si="9"/>
        <v>60</v>
      </c>
      <c r="O30" s="10">
        <f t="shared" si="9"/>
        <v>66</v>
      </c>
      <c r="P30" s="10">
        <f t="shared" si="9"/>
        <v>69</v>
      </c>
      <c r="Q30" s="10">
        <f t="shared" si="10"/>
        <v>75</v>
      </c>
      <c r="R30" s="10">
        <f t="shared" si="11"/>
        <v>63</v>
      </c>
      <c r="S30" s="10">
        <f t="shared" si="12"/>
        <v>66</v>
      </c>
      <c r="T30" s="10">
        <f t="shared" si="13"/>
        <v>60</v>
      </c>
      <c r="U30" s="10">
        <f t="shared" si="14"/>
        <v>54</v>
      </c>
      <c r="V30" s="10">
        <f t="shared" si="15"/>
        <v>66</v>
      </c>
      <c r="W30" s="3"/>
      <c r="X30" s="3" t="s">
        <v>5</v>
      </c>
      <c r="Y30" s="3">
        <v>4</v>
      </c>
      <c r="Z30" s="3">
        <v>20</v>
      </c>
      <c r="AA30" s="3">
        <v>0</v>
      </c>
      <c r="AB30" s="3">
        <v>60</v>
      </c>
    </row>
    <row r="31" spans="1:28" x14ac:dyDescent="0.35">
      <c r="A31" s="3">
        <f t="shared" si="16"/>
        <v>29</v>
      </c>
      <c r="B31" s="3" t="s">
        <v>5</v>
      </c>
      <c r="C31" s="6">
        <v>26</v>
      </c>
      <c r="D31">
        <v>27</v>
      </c>
      <c r="E31">
        <v>27</v>
      </c>
      <c r="F31">
        <v>22</v>
      </c>
      <c r="G31">
        <v>24</v>
      </c>
      <c r="H31">
        <v>24</v>
      </c>
      <c r="I31">
        <v>25</v>
      </c>
      <c r="J31">
        <v>24</v>
      </c>
      <c r="K31">
        <v>25</v>
      </c>
      <c r="M31" s="3" t="str">
        <f t="shared" si="8"/>
        <v>100/0</v>
      </c>
      <c r="N31" s="10">
        <f t="shared" si="9"/>
        <v>78</v>
      </c>
      <c r="O31" s="10">
        <f t="shared" si="9"/>
        <v>81</v>
      </c>
      <c r="P31" s="10">
        <f t="shared" si="9"/>
        <v>81</v>
      </c>
      <c r="Q31" s="10">
        <f t="shared" si="10"/>
        <v>66</v>
      </c>
      <c r="R31" s="10">
        <f t="shared" si="11"/>
        <v>72</v>
      </c>
      <c r="S31" s="10">
        <f t="shared" si="12"/>
        <v>72</v>
      </c>
      <c r="T31" s="10">
        <f t="shared" si="13"/>
        <v>75</v>
      </c>
      <c r="U31" s="10">
        <f t="shared" si="14"/>
        <v>72</v>
      </c>
      <c r="V31" s="10">
        <f t="shared" si="15"/>
        <v>75</v>
      </c>
      <c r="W31" s="3"/>
      <c r="X31" s="3" t="s">
        <v>5</v>
      </c>
      <c r="Y31" s="3">
        <v>5</v>
      </c>
      <c r="Z31" s="3">
        <v>20</v>
      </c>
      <c r="AA31" s="3">
        <v>0</v>
      </c>
      <c r="AB31" s="3">
        <v>78</v>
      </c>
    </row>
    <row r="32" spans="1:28" x14ac:dyDescent="0.35">
      <c r="A32" s="3">
        <f t="shared" si="16"/>
        <v>30</v>
      </c>
      <c r="B32" s="3" t="s">
        <v>5</v>
      </c>
      <c r="C32" s="6">
        <v>26</v>
      </c>
      <c r="D32">
        <v>21</v>
      </c>
      <c r="E32">
        <v>22</v>
      </c>
      <c r="F32">
        <v>22</v>
      </c>
      <c r="G32">
        <v>23</v>
      </c>
      <c r="H32">
        <v>20</v>
      </c>
      <c r="I32">
        <v>21</v>
      </c>
      <c r="J32">
        <v>20</v>
      </c>
      <c r="K32">
        <v>20</v>
      </c>
      <c r="M32" s="3" t="str">
        <f t="shared" si="8"/>
        <v>100/0</v>
      </c>
      <c r="N32" s="10">
        <f t="shared" si="9"/>
        <v>78</v>
      </c>
      <c r="O32" s="10">
        <f t="shared" si="9"/>
        <v>63</v>
      </c>
      <c r="P32" s="10">
        <f t="shared" si="9"/>
        <v>66</v>
      </c>
      <c r="Q32" s="10">
        <f t="shared" si="10"/>
        <v>66</v>
      </c>
      <c r="R32" s="10">
        <f t="shared" si="11"/>
        <v>69</v>
      </c>
      <c r="S32" s="10">
        <f t="shared" si="12"/>
        <v>60</v>
      </c>
      <c r="T32" s="10">
        <f t="shared" si="13"/>
        <v>63</v>
      </c>
      <c r="U32" s="10">
        <f t="shared" si="14"/>
        <v>60</v>
      </c>
      <c r="V32" s="10">
        <f t="shared" si="15"/>
        <v>60</v>
      </c>
      <c r="W32" s="3"/>
      <c r="X32" s="3" t="s">
        <v>5</v>
      </c>
      <c r="Y32" s="3">
        <v>6</v>
      </c>
      <c r="Z32" s="3">
        <v>20</v>
      </c>
      <c r="AA32" s="3">
        <v>0</v>
      </c>
      <c r="AB32" s="3">
        <v>78</v>
      </c>
    </row>
    <row r="33" spans="1:28" x14ac:dyDescent="0.35">
      <c r="A33" s="3">
        <f t="shared" si="16"/>
        <v>31</v>
      </c>
      <c r="B33" s="3" t="s">
        <v>5</v>
      </c>
      <c r="C33" s="6">
        <v>25</v>
      </c>
      <c r="D33">
        <v>22</v>
      </c>
      <c r="E33">
        <v>22</v>
      </c>
      <c r="F33">
        <v>21</v>
      </c>
      <c r="G33">
        <v>21</v>
      </c>
      <c r="H33">
        <v>22</v>
      </c>
      <c r="I33">
        <v>24</v>
      </c>
      <c r="J33">
        <v>26</v>
      </c>
      <c r="K33">
        <v>26</v>
      </c>
      <c r="M33" s="3" t="str">
        <f t="shared" si="8"/>
        <v>100/0</v>
      </c>
      <c r="N33" s="10">
        <f t="shared" si="9"/>
        <v>75</v>
      </c>
      <c r="O33" s="10">
        <f t="shared" si="9"/>
        <v>66</v>
      </c>
      <c r="P33" s="10">
        <f t="shared" si="9"/>
        <v>66</v>
      </c>
      <c r="Q33" s="10">
        <f t="shared" si="10"/>
        <v>63</v>
      </c>
      <c r="R33" s="10">
        <f t="shared" si="11"/>
        <v>63</v>
      </c>
      <c r="S33" s="10">
        <f t="shared" si="12"/>
        <v>66</v>
      </c>
      <c r="T33" s="10">
        <f t="shared" si="13"/>
        <v>72</v>
      </c>
      <c r="U33" s="10">
        <f t="shared" si="14"/>
        <v>78</v>
      </c>
      <c r="V33" s="10">
        <f t="shared" si="15"/>
        <v>78</v>
      </c>
      <c r="W33" s="3"/>
      <c r="X33" s="3" t="s">
        <v>5</v>
      </c>
      <c r="Y33" s="3">
        <v>7</v>
      </c>
      <c r="Z33" s="3">
        <v>20</v>
      </c>
      <c r="AA33" s="3">
        <v>9</v>
      </c>
      <c r="AB33" s="3">
        <v>75</v>
      </c>
    </row>
    <row r="34" spans="1:28" x14ac:dyDescent="0.35">
      <c r="A34" s="3">
        <f t="shared" si="16"/>
        <v>32</v>
      </c>
      <c r="B34" s="3" t="s">
        <v>5</v>
      </c>
      <c r="C34" s="6">
        <v>20</v>
      </c>
      <c r="D34">
        <v>29</v>
      </c>
      <c r="E34">
        <v>25</v>
      </c>
      <c r="F34">
        <v>24</v>
      </c>
      <c r="G34">
        <v>23</v>
      </c>
      <c r="H34">
        <v>23</v>
      </c>
      <c r="I34">
        <v>25</v>
      </c>
      <c r="J34">
        <v>27</v>
      </c>
      <c r="K34">
        <v>24</v>
      </c>
      <c r="M34" s="3" t="str">
        <f t="shared" si="8"/>
        <v>100/0</v>
      </c>
      <c r="N34" s="10">
        <f t="shared" si="9"/>
        <v>60</v>
      </c>
      <c r="O34" s="10">
        <f t="shared" si="9"/>
        <v>87</v>
      </c>
      <c r="P34" s="10">
        <f t="shared" si="9"/>
        <v>75</v>
      </c>
      <c r="Q34" s="10">
        <f t="shared" si="10"/>
        <v>72</v>
      </c>
      <c r="R34" s="10">
        <f t="shared" si="11"/>
        <v>69</v>
      </c>
      <c r="S34" s="10">
        <f t="shared" si="12"/>
        <v>69</v>
      </c>
      <c r="T34" s="10">
        <f t="shared" si="13"/>
        <v>75</v>
      </c>
      <c r="U34" s="10">
        <f t="shared" si="14"/>
        <v>81</v>
      </c>
      <c r="V34" s="10">
        <f t="shared" si="15"/>
        <v>72</v>
      </c>
      <c r="W34" s="3"/>
      <c r="X34" s="3" t="s">
        <v>5</v>
      </c>
      <c r="Y34" s="3">
        <v>8</v>
      </c>
      <c r="Z34" s="3">
        <v>20</v>
      </c>
      <c r="AA34" s="3">
        <v>12</v>
      </c>
      <c r="AB34" s="3">
        <v>60</v>
      </c>
    </row>
    <row r="35" spans="1:28" x14ac:dyDescent="0.35">
      <c r="A35" s="3">
        <f t="shared" si="16"/>
        <v>33</v>
      </c>
      <c r="B35" s="3" t="s">
        <v>5</v>
      </c>
      <c r="C35" s="6">
        <v>28</v>
      </c>
      <c r="D35">
        <v>39</v>
      </c>
      <c r="E35">
        <v>12</v>
      </c>
      <c r="F35">
        <v>29</v>
      </c>
      <c r="G35">
        <v>25</v>
      </c>
      <c r="H35">
        <v>25</v>
      </c>
      <c r="I35">
        <v>28</v>
      </c>
      <c r="J35">
        <v>28</v>
      </c>
      <c r="K35">
        <v>28</v>
      </c>
      <c r="M35" s="3" t="str">
        <f t="shared" si="8"/>
        <v>100/0</v>
      </c>
      <c r="N35" s="10">
        <f t="shared" si="9"/>
        <v>84</v>
      </c>
      <c r="O35" s="10">
        <f t="shared" si="9"/>
        <v>117</v>
      </c>
      <c r="P35" s="10">
        <f t="shared" si="9"/>
        <v>36</v>
      </c>
      <c r="Q35" s="10">
        <f t="shared" si="10"/>
        <v>87</v>
      </c>
      <c r="R35" s="10">
        <f t="shared" si="11"/>
        <v>75</v>
      </c>
      <c r="S35" s="10">
        <f t="shared" si="12"/>
        <v>75</v>
      </c>
      <c r="T35" s="10">
        <f t="shared" si="13"/>
        <v>84</v>
      </c>
      <c r="U35" s="10">
        <f t="shared" si="14"/>
        <v>84</v>
      </c>
      <c r="V35" s="10">
        <f t="shared" si="15"/>
        <v>84</v>
      </c>
      <c r="W35" s="3"/>
      <c r="X35" s="3" t="s">
        <v>5</v>
      </c>
      <c r="Y35" s="3">
        <v>9</v>
      </c>
      <c r="Z35" s="3">
        <v>20</v>
      </c>
      <c r="AA35" s="3">
        <v>0</v>
      </c>
      <c r="AB35" s="3">
        <v>84</v>
      </c>
    </row>
    <row r="36" spans="1:28" x14ac:dyDescent="0.35">
      <c r="A36" s="3">
        <f t="shared" si="16"/>
        <v>34</v>
      </c>
      <c r="B36" s="3" t="s">
        <v>5</v>
      </c>
      <c r="C36" s="6">
        <v>23</v>
      </c>
      <c r="D36">
        <v>23</v>
      </c>
      <c r="E36">
        <v>20</v>
      </c>
      <c r="F36">
        <v>23</v>
      </c>
      <c r="G36">
        <v>24</v>
      </c>
      <c r="H36">
        <v>28</v>
      </c>
      <c r="I36">
        <v>30</v>
      </c>
      <c r="J36">
        <v>24</v>
      </c>
      <c r="K36">
        <v>33</v>
      </c>
      <c r="M36" s="3" t="str">
        <f t="shared" si="8"/>
        <v>100/0</v>
      </c>
      <c r="N36" s="10">
        <f t="shared" si="9"/>
        <v>69</v>
      </c>
      <c r="O36" s="10">
        <f t="shared" si="9"/>
        <v>69</v>
      </c>
      <c r="P36" s="10">
        <f t="shared" si="9"/>
        <v>60</v>
      </c>
      <c r="Q36" s="10">
        <f t="shared" si="10"/>
        <v>69</v>
      </c>
      <c r="R36" s="10">
        <f t="shared" si="11"/>
        <v>72</v>
      </c>
      <c r="S36" s="10">
        <f t="shared" si="12"/>
        <v>84</v>
      </c>
      <c r="T36" s="10">
        <f t="shared" si="13"/>
        <v>90</v>
      </c>
      <c r="U36" s="10">
        <f t="shared" si="14"/>
        <v>72</v>
      </c>
      <c r="V36" s="10">
        <f t="shared" si="15"/>
        <v>99</v>
      </c>
      <c r="W36" s="3"/>
      <c r="X36" s="3" t="s">
        <v>5</v>
      </c>
      <c r="Y36" s="3">
        <v>10</v>
      </c>
      <c r="Z36" s="3">
        <v>20</v>
      </c>
      <c r="AA36" s="3">
        <v>0</v>
      </c>
      <c r="AB36" s="3">
        <v>69</v>
      </c>
    </row>
    <row r="37" spans="1:28" x14ac:dyDescent="0.35">
      <c r="A37" s="3">
        <f t="shared" si="16"/>
        <v>35</v>
      </c>
      <c r="B37" s="3" t="s">
        <v>5</v>
      </c>
      <c r="C37" s="6">
        <v>26</v>
      </c>
      <c r="D37">
        <v>26</v>
      </c>
      <c r="E37">
        <v>21</v>
      </c>
      <c r="F37">
        <v>24</v>
      </c>
      <c r="G37">
        <v>23</v>
      </c>
      <c r="H37">
        <v>25</v>
      </c>
      <c r="I37">
        <v>29</v>
      </c>
      <c r="J37">
        <v>28</v>
      </c>
      <c r="K37">
        <v>28</v>
      </c>
      <c r="M37" s="3" t="str">
        <f t="shared" si="8"/>
        <v>100/0</v>
      </c>
      <c r="N37" s="10">
        <f t="shared" si="9"/>
        <v>78</v>
      </c>
      <c r="O37" s="10">
        <f t="shared" si="9"/>
        <v>78</v>
      </c>
      <c r="P37" s="10">
        <f t="shared" si="9"/>
        <v>63</v>
      </c>
      <c r="Q37" s="10">
        <f t="shared" si="10"/>
        <v>72</v>
      </c>
      <c r="R37" s="10">
        <f t="shared" si="11"/>
        <v>69</v>
      </c>
      <c r="S37" s="10">
        <f t="shared" si="12"/>
        <v>75</v>
      </c>
      <c r="T37" s="10">
        <f t="shared" si="13"/>
        <v>87</v>
      </c>
      <c r="U37" s="10">
        <f t="shared" si="14"/>
        <v>84</v>
      </c>
      <c r="V37" s="10">
        <f t="shared" si="15"/>
        <v>84</v>
      </c>
      <c r="W37" s="3"/>
      <c r="X37" s="3" t="s">
        <v>5</v>
      </c>
      <c r="Y37" s="3">
        <v>11</v>
      </c>
      <c r="Z37" s="3">
        <v>20</v>
      </c>
      <c r="AA37" s="3">
        <v>0</v>
      </c>
      <c r="AB37" s="3">
        <v>78</v>
      </c>
    </row>
    <row r="38" spans="1:28" x14ac:dyDescent="0.35">
      <c r="A38" s="3">
        <f t="shared" si="16"/>
        <v>36</v>
      </c>
      <c r="B38" s="3" t="s">
        <v>5</v>
      </c>
      <c r="C38" s="6">
        <v>17</v>
      </c>
      <c r="D38">
        <v>23</v>
      </c>
      <c r="E38">
        <v>22</v>
      </c>
      <c r="F38">
        <v>22</v>
      </c>
      <c r="G38">
        <v>20</v>
      </c>
      <c r="H38">
        <v>19</v>
      </c>
      <c r="I38">
        <v>23</v>
      </c>
      <c r="J38">
        <v>21</v>
      </c>
      <c r="K38">
        <v>24</v>
      </c>
      <c r="M38" s="3" t="str">
        <f t="shared" si="8"/>
        <v>100/0</v>
      </c>
      <c r="N38" s="10">
        <f t="shared" si="9"/>
        <v>51</v>
      </c>
      <c r="O38" s="10">
        <f t="shared" si="9"/>
        <v>69</v>
      </c>
      <c r="P38" s="10">
        <f t="shared" si="9"/>
        <v>66</v>
      </c>
      <c r="Q38" s="10">
        <f t="shared" si="10"/>
        <v>66</v>
      </c>
      <c r="R38" s="10">
        <f t="shared" si="11"/>
        <v>60</v>
      </c>
      <c r="S38" s="10">
        <f t="shared" si="12"/>
        <v>57</v>
      </c>
      <c r="T38" s="10">
        <f t="shared" si="13"/>
        <v>69</v>
      </c>
      <c r="U38" s="10">
        <f t="shared" si="14"/>
        <v>63</v>
      </c>
      <c r="V38" s="10">
        <f t="shared" si="15"/>
        <v>72</v>
      </c>
      <c r="W38" s="3"/>
      <c r="X38" s="3" t="s">
        <v>5</v>
      </c>
      <c r="Y38" s="3">
        <v>12</v>
      </c>
      <c r="Z38" s="3">
        <v>20</v>
      </c>
      <c r="AA38" s="3">
        <v>0</v>
      </c>
      <c r="AB38" s="3">
        <v>51</v>
      </c>
    </row>
    <row r="39" spans="1:28" x14ac:dyDescent="0.35">
      <c r="A39" s="3"/>
      <c r="B39" s="3"/>
      <c r="C39" s="10"/>
      <c r="D39" s="3"/>
      <c r="E39" s="11"/>
      <c r="F39" s="10"/>
      <c r="G39" s="3"/>
      <c r="H39" s="11"/>
      <c r="I39" s="10"/>
      <c r="J39" s="3"/>
      <c r="K39" s="11"/>
      <c r="M39" s="3"/>
      <c r="N39" s="10"/>
      <c r="O39" s="3"/>
      <c r="P39" s="11"/>
      <c r="Q39" s="10"/>
      <c r="R39" s="3"/>
      <c r="S39" s="11"/>
      <c r="T39" s="10"/>
      <c r="U39" s="3"/>
      <c r="V39" s="11"/>
      <c r="W39" s="3"/>
      <c r="X39" s="3" t="s">
        <v>3</v>
      </c>
      <c r="Y39" s="3">
        <v>1</v>
      </c>
      <c r="Z39" s="3">
        <v>40</v>
      </c>
      <c r="AA39" s="3">
        <v>39</v>
      </c>
      <c r="AB39" s="3">
        <v>72</v>
      </c>
    </row>
    <row r="40" spans="1:28" x14ac:dyDescent="0.35">
      <c r="X40" s="3" t="s">
        <v>4</v>
      </c>
      <c r="Y40" s="3">
        <v>1</v>
      </c>
      <c r="Z40" s="3">
        <v>40</v>
      </c>
      <c r="AA40" s="3">
        <v>45</v>
      </c>
      <c r="AB40" s="3">
        <v>96</v>
      </c>
    </row>
    <row r="41" spans="1:28" x14ac:dyDescent="0.35">
      <c r="X41" s="3" t="s">
        <v>4</v>
      </c>
      <c r="Y41" s="3">
        <v>2</v>
      </c>
      <c r="Z41" s="3">
        <v>40</v>
      </c>
      <c r="AA41" s="3">
        <v>60</v>
      </c>
      <c r="AB41" s="3">
        <v>96</v>
      </c>
    </row>
    <row r="42" spans="1:28" x14ac:dyDescent="0.35">
      <c r="X42" s="3" t="s">
        <v>3</v>
      </c>
      <c r="Y42" s="3">
        <v>2</v>
      </c>
      <c r="Z42" s="3">
        <v>40</v>
      </c>
      <c r="AA42" s="3">
        <v>84</v>
      </c>
      <c r="AB42" s="3">
        <v>18</v>
      </c>
    </row>
    <row r="43" spans="1:28" x14ac:dyDescent="0.35">
      <c r="X43" s="3" t="s">
        <v>4</v>
      </c>
      <c r="Y43" s="3">
        <v>3</v>
      </c>
      <c r="Z43" s="3">
        <v>40</v>
      </c>
      <c r="AA43" s="3">
        <v>60</v>
      </c>
      <c r="AB43" s="3">
        <v>93</v>
      </c>
    </row>
    <row r="44" spans="1:28" x14ac:dyDescent="0.35">
      <c r="X44" s="3" t="s">
        <v>3</v>
      </c>
      <c r="Y44" s="3">
        <v>3</v>
      </c>
      <c r="Z44" s="3">
        <v>40</v>
      </c>
      <c r="AA44" s="3">
        <v>78</v>
      </c>
      <c r="AB44" s="3">
        <v>78</v>
      </c>
    </row>
    <row r="45" spans="1:28" x14ac:dyDescent="0.35">
      <c r="X45" s="3" t="s">
        <v>4</v>
      </c>
      <c r="Y45" s="3">
        <v>4</v>
      </c>
      <c r="Z45" s="3">
        <v>40</v>
      </c>
      <c r="AA45" s="3">
        <v>90</v>
      </c>
      <c r="AB45" s="3">
        <v>102</v>
      </c>
    </row>
    <row r="46" spans="1:28" x14ac:dyDescent="0.35">
      <c r="X46" s="3" t="s">
        <v>3</v>
      </c>
      <c r="Y46" s="3">
        <v>4</v>
      </c>
      <c r="Z46" s="3">
        <v>40</v>
      </c>
      <c r="AA46" s="3">
        <v>75</v>
      </c>
      <c r="AB46" s="3">
        <v>93</v>
      </c>
    </row>
    <row r="47" spans="1:28" x14ac:dyDescent="0.35">
      <c r="X47" s="3" t="s">
        <v>3</v>
      </c>
      <c r="Y47" s="3">
        <v>5</v>
      </c>
      <c r="Z47" s="3">
        <v>40</v>
      </c>
      <c r="AA47" s="3">
        <v>60</v>
      </c>
      <c r="AB47" s="3">
        <v>84</v>
      </c>
    </row>
    <row r="48" spans="1:28" x14ac:dyDescent="0.35">
      <c r="X48" s="3" t="s">
        <v>4</v>
      </c>
      <c r="Y48" s="3">
        <v>5</v>
      </c>
      <c r="Z48" s="3">
        <v>40</v>
      </c>
      <c r="AA48" s="3">
        <v>45</v>
      </c>
      <c r="AB48" s="3">
        <v>0</v>
      </c>
    </row>
    <row r="49" spans="24:28" x14ac:dyDescent="0.35">
      <c r="X49" s="3" t="s">
        <v>3</v>
      </c>
      <c r="Y49" s="3">
        <v>6</v>
      </c>
      <c r="Z49" s="3">
        <v>40</v>
      </c>
      <c r="AA49" s="3">
        <v>108</v>
      </c>
      <c r="AB49" s="3">
        <v>69</v>
      </c>
    </row>
    <row r="50" spans="24:28" x14ac:dyDescent="0.35">
      <c r="X50" s="3" t="s">
        <v>4</v>
      </c>
      <c r="Y50" s="3">
        <v>6</v>
      </c>
      <c r="Z50" s="3">
        <v>40</v>
      </c>
      <c r="AA50" s="3">
        <v>72</v>
      </c>
      <c r="AB50" s="3">
        <v>90</v>
      </c>
    </row>
    <row r="51" spans="24:28" x14ac:dyDescent="0.35">
      <c r="X51" s="3" t="s">
        <v>3</v>
      </c>
      <c r="Y51" s="3">
        <v>7</v>
      </c>
      <c r="Z51" s="3">
        <v>40</v>
      </c>
      <c r="AA51" s="3">
        <v>63</v>
      </c>
      <c r="AB51" s="3">
        <v>0</v>
      </c>
    </row>
    <row r="52" spans="24:28" x14ac:dyDescent="0.35">
      <c r="X52" s="3" t="s">
        <v>3</v>
      </c>
      <c r="Y52" s="3">
        <v>8</v>
      </c>
      <c r="Z52" s="3">
        <v>40</v>
      </c>
      <c r="AA52" s="3">
        <v>33</v>
      </c>
      <c r="AB52" s="3">
        <v>0</v>
      </c>
    </row>
    <row r="53" spans="24:28" x14ac:dyDescent="0.35">
      <c r="X53" s="3" t="s">
        <v>3</v>
      </c>
      <c r="Y53" s="3">
        <v>9</v>
      </c>
      <c r="Z53" s="3">
        <v>40</v>
      </c>
      <c r="AA53" s="3">
        <v>66</v>
      </c>
      <c r="AB53" s="3">
        <v>84</v>
      </c>
    </row>
    <row r="54" spans="24:28" x14ac:dyDescent="0.35">
      <c r="X54" s="3" t="s">
        <v>3</v>
      </c>
      <c r="Y54" s="3">
        <v>10</v>
      </c>
      <c r="Z54" s="3">
        <v>40</v>
      </c>
      <c r="AA54" s="3">
        <v>75</v>
      </c>
      <c r="AB54" s="3">
        <v>54</v>
      </c>
    </row>
    <row r="55" spans="24:28" x14ac:dyDescent="0.35">
      <c r="X55" s="3" t="s">
        <v>3</v>
      </c>
      <c r="Y55" s="3">
        <v>11</v>
      </c>
      <c r="Z55" s="3">
        <v>40</v>
      </c>
      <c r="AA55" s="3">
        <v>66</v>
      </c>
      <c r="AB55" s="3">
        <v>66</v>
      </c>
    </row>
    <row r="56" spans="24:28" x14ac:dyDescent="0.35">
      <c r="X56" s="3" t="s">
        <v>3</v>
      </c>
      <c r="Y56" s="3">
        <v>12</v>
      </c>
      <c r="Z56" s="3">
        <v>40</v>
      </c>
      <c r="AA56" s="3">
        <v>66</v>
      </c>
      <c r="AB56" s="3">
        <v>84</v>
      </c>
    </row>
    <row r="57" spans="24:28" x14ac:dyDescent="0.35">
      <c r="X57" s="3" t="s">
        <v>4</v>
      </c>
      <c r="Y57" s="3">
        <v>7</v>
      </c>
      <c r="Z57" s="3">
        <v>40</v>
      </c>
      <c r="AA57" s="3">
        <v>69</v>
      </c>
      <c r="AB57" s="3">
        <v>60</v>
      </c>
    </row>
    <row r="58" spans="24:28" x14ac:dyDescent="0.35">
      <c r="X58" s="3" t="s">
        <v>4</v>
      </c>
      <c r="Y58" s="3">
        <v>8</v>
      </c>
      <c r="Z58" s="3">
        <v>40</v>
      </c>
      <c r="AA58" s="3">
        <v>87</v>
      </c>
      <c r="AB58" s="3">
        <v>99</v>
      </c>
    </row>
    <row r="59" spans="24:28" x14ac:dyDescent="0.35">
      <c r="X59" s="3" t="s">
        <v>4</v>
      </c>
      <c r="Y59" s="3">
        <v>9</v>
      </c>
      <c r="Z59" s="3">
        <v>40</v>
      </c>
      <c r="AA59" s="3">
        <v>75</v>
      </c>
      <c r="AB59" s="3">
        <v>102</v>
      </c>
    </row>
    <row r="60" spans="24:28" x14ac:dyDescent="0.35">
      <c r="X60" s="3" t="s">
        <v>4</v>
      </c>
      <c r="Y60" s="3">
        <v>10</v>
      </c>
      <c r="Z60" s="3">
        <v>40</v>
      </c>
      <c r="AA60" s="3">
        <v>45</v>
      </c>
      <c r="AB60" s="3">
        <v>18</v>
      </c>
    </row>
    <row r="61" spans="24:28" x14ac:dyDescent="0.35">
      <c r="X61" s="3" t="s">
        <v>4</v>
      </c>
      <c r="Y61" s="3">
        <v>11</v>
      </c>
      <c r="Z61" s="3">
        <v>40</v>
      </c>
      <c r="AA61" s="3">
        <v>0</v>
      </c>
      <c r="AB61" s="3">
        <v>93</v>
      </c>
    </row>
    <row r="62" spans="24:28" x14ac:dyDescent="0.35">
      <c r="X62" s="3" t="s">
        <v>4</v>
      </c>
      <c r="Y62" s="3">
        <v>12</v>
      </c>
      <c r="Z62" s="3">
        <v>40</v>
      </c>
      <c r="AA62" s="3">
        <v>60</v>
      </c>
      <c r="AB62" s="3">
        <v>93</v>
      </c>
    </row>
    <row r="63" spans="24:28" x14ac:dyDescent="0.35">
      <c r="X63" s="3" t="s">
        <v>5</v>
      </c>
      <c r="Y63" s="3">
        <v>1</v>
      </c>
      <c r="Z63" s="3">
        <v>40</v>
      </c>
      <c r="AA63" s="3">
        <v>15</v>
      </c>
      <c r="AB63" s="3">
        <v>57</v>
      </c>
    </row>
    <row r="64" spans="24:28" x14ac:dyDescent="0.35">
      <c r="X64" s="3" t="s">
        <v>5</v>
      </c>
      <c r="Y64" s="3">
        <v>2</v>
      </c>
      <c r="Z64" s="3">
        <v>40</v>
      </c>
      <c r="AA64" s="3">
        <v>24</v>
      </c>
      <c r="AB64" s="3">
        <v>69</v>
      </c>
    </row>
    <row r="65" spans="24:28" x14ac:dyDescent="0.35">
      <c r="X65" s="3" t="s">
        <v>5</v>
      </c>
      <c r="Y65" s="3">
        <v>3</v>
      </c>
      <c r="Z65" s="3">
        <v>40</v>
      </c>
      <c r="AA65" s="3">
        <v>15</v>
      </c>
      <c r="AB65" s="3">
        <v>57</v>
      </c>
    </row>
    <row r="66" spans="24:28" x14ac:dyDescent="0.35">
      <c r="X66" s="3" t="s">
        <v>5</v>
      </c>
      <c r="Y66" s="3">
        <v>4</v>
      </c>
      <c r="Z66" s="3">
        <v>40</v>
      </c>
      <c r="AA66" s="3">
        <v>0</v>
      </c>
      <c r="AB66" s="3">
        <v>66</v>
      </c>
    </row>
    <row r="67" spans="24:28" x14ac:dyDescent="0.35">
      <c r="X67" s="3" t="s">
        <v>5</v>
      </c>
      <c r="Y67" s="3">
        <v>5</v>
      </c>
      <c r="Z67" s="3">
        <v>40</v>
      </c>
      <c r="AA67" s="3">
        <v>0</v>
      </c>
      <c r="AB67" s="3">
        <v>81</v>
      </c>
    </row>
    <row r="68" spans="24:28" x14ac:dyDescent="0.35">
      <c r="X68" s="3" t="s">
        <v>5</v>
      </c>
      <c r="Y68" s="3">
        <v>6</v>
      </c>
      <c r="Z68" s="3">
        <v>40</v>
      </c>
      <c r="AA68" s="3">
        <v>0</v>
      </c>
      <c r="AB68" s="3">
        <v>63</v>
      </c>
    </row>
    <row r="69" spans="24:28" x14ac:dyDescent="0.35">
      <c r="X69" s="3" t="s">
        <v>5</v>
      </c>
      <c r="Y69" s="3">
        <v>7</v>
      </c>
      <c r="Z69" s="3">
        <v>40</v>
      </c>
      <c r="AA69" s="3">
        <v>69</v>
      </c>
      <c r="AB69" s="3">
        <v>66</v>
      </c>
    </row>
    <row r="70" spans="24:28" x14ac:dyDescent="0.35">
      <c r="X70" s="3" t="s">
        <v>5</v>
      </c>
      <c r="Y70" s="3">
        <v>8</v>
      </c>
      <c r="Z70" s="3">
        <v>40</v>
      </c>
      <c r="AA70" s="3">
        <v>60</v>
      </c>
      <c r="AB70" s="3">
        <v>87</v>
      </c>
    </row>
    <row r="71" spans="24:28" x14ac:dyDescent="0.35">
      <c r="X71" s="3" t="s">
        <v>5</v>
      </c>
      <c r="Y71" s="3">
        <v>9</v>
      </c>
      <c r="Z71" s="3">
        <v>40</v>
      </c>
      <c r="AA71" s="3">
        <v>75</v>
      </c>
      <c r="AB71" s="3">
        <v>117</v>
      </c>
    </row>
    <row r="72" spans="24:28" x14ac:dyDescent="0.35">
      <c r="X72" s="3" t="s">
        <v>5</v>
      </c>
      <c r="Y72" s="3">
        <v>10</v>
      </c>
      <c r="Z72" s="3">
        <v>40</v>
      </c>
      <c r="AA72" s="3">
        <v>36</v>
      </c>
      <c r="AB72" s="3">
        <v>69</v>
      </c>
    </row>
    <row r="73" spans="24:28" x14ac:dyDescent="0.35">
      <c r="X73" s="3" t="s">
        <v>5</v>
      </c>
      <c r="Y73" s="3">
        <v>11</v>
      </c>
      <c r="Z73" s="3">
        <v>40</v>
      </c>
      <c r="AA73" s="3">
        <v>27</v>
      </c>
      <c r="AB73" s="3">
        <v>78</v>
      </c>
    </row>
    <row r="74" spans="24:28" x14ac:dyDescent="0.35">
      <c r="X74" s="3" t="s">
        <v>5</v>
      </c>
      <c r="Y74" s="3">
        <v>12</v>
      </c>
      <c r="Z74" s="3">
        <v>40</v>
      </c>
      <c r="AA74" s="3">
        <v>0</v>
      </c>
      <c r="AB74" s="3">
        <v>69</v>
      </c>
    </row>
    <row r="75" spans="24:28" x14ac:dyDescent="0.35">
      <c r="X75" s="3" t="s">
        <v>3</v>
      </c>
      <c r="Y75" s="3">
        <v>1</v>
      </c>
      <c r="Z75" s="3">
        <v>60</v>
      </c>
      <c r="AA75" s="3">
        <v>69</v>
      </c>
      <c r="AB75" s="3">
        <v>66</v>
      </c>
    </row>
    <row r="76" spans="24:28" x14ac:dyDescent="0.35">
      <c r="X76" s="3" t="s">
        <v>4</v>
      </c>
      <c r="Y76" s="3">
        <v>1</v>
      </c>
      <c r="Z76" s="3">
        <v>60</v>
      </c>
      <c r="AA76" s="3">
        <v>45</v>
      </c>
      <c r="AB76" s="3">
        <v>93</v>
      </c>
    </row>
    <row r="77" spans="24:28" x14ac:dyDescent="0.35">
      <c r="X77" s="3" t="s">
        <v>4</v>
      </c>
      <c r="Y77" s="3">
        <v>2</v>
      </c>
      <c r="Z77" s="3">
        <v>60</v>
      </c>
      <c r="AA77" s="3">
        <v>66</v>
      </c>
      <c r="AB77" s="3">
        <v>87</v>
      </c>
    </row>
    <row r="78" spans="24:28" x14ac:dyDescent="0.35">
      <c r="X78" s="3" t="s">
        <v>3</v>
      </c>
      <c r="Y78" s="3">
        <v>2</v>
      </c>
      <c r="Z78" s="3">
        <v>60</v>
      </c>
      <c r="AA78" s="3">
        <v>114</v>
      </c>
      <c r="AB78" s="3">
        <v>45</v>
      </c>
    </row>
    <row r="79" spans="24:28" x14ac:dyDescent="0.35">
      <c r="X79" s="3" t="s">
        <v>4</v>
      </c>
      <c r="Y79" s="3">
        <v>3</v>
      </c>
      <c r="Z79" s="3">
        <v>60</v>
      </c>
      <c r="AA79" s="3">
        <v>66</v>
      </c>
      <c r="AB79" s="3">
        <v>90</v>
      </c>
    </row>
    <row r="80" spans="24:28" x14ac:dyDescent="0.35">
      <c r="X80" s="3" t="s">
        <v>3</v>
      </c>
      <c r="Y80" s="3">
        <v>3</v>
      </c>
      <c r="Z80" s="3">
        <v>60</v>
      </c>
      <c r="AA80" s="3">
        <v>78</v>
      </c>
      <c r="AB80" s="3">
        <v>72</v>
      </c>
    </row>
    <row r="81" spans="24:28" x14ac:dyDescent="0.35">
      <c r="X81" s="3" t="s">
        <v>4</v>
      </c>
      <c r="Y81" s="3">
        <v>4</v>
      </c>
      <c r="Z81" s="3">
        <v>60</v>
      </c>
      <c r="AA81" s="3">
        <v>99</v>
      </c>
      <c r="AB81" s="3">
        <v>99</v>
      </c>
    </row>
    <row r="82" spans="24:28" x14ac:dyDescent="0.35">
      <c r="X82" s="3" t="s">
        <v>3</v>
      </c>
      <c r="Y82" s="3">
        <v>4</v>
      </c>
      <c r="Z82" s="3">
        <v>60</v>
      </c>
      <c r="AA82" s="3">
        <v>96</v>
      </c>
      <c r="AB82" s="3">
        <v>72</v>
      </c>
    </row>
    <row r="83" spans="24:28" x14ac:dyDescent="0.35">
      <c r="X83" s="3" t="s">
        <v>3</v>
      </c>
      <c r="Y83" s="3">
        <v>5</v>
      </c>
      <c r="Z83" s="3">
        <v>60</v>
      </c>
      <c r="AA83" s="3">
        <v>93</v>
      </c>
      <c r="AB83" s="3">
        <v>78</v>
      </c>
    </row>
    <row r="84" spans="24:28" x14ac:dyDescent="0.35">
      <c r="X84" s="3" t="s">
        <v>4</v>
      </c>
      <c r="Y84" s="3">
        <v>5</v>
      </c>
      <c r="Z84" s="3">
        <v>60</v>
      </c>
      <c r="AA84" s="3">
        <v>84</v>
      </c>
      <c r="AB84" s="3">
        <v>39</v>
      </c>
    </row>
    <row r="85" spans="24:28" x14ac:dyDescent="0.35">
      <c r="X85" s="3" t="s">
        <v>3</v>
      </c>
      <c r="Y85" s="3">
        <v>6</v>
      </c>
      <c r="Z85" s="3">
        <v>60</v>
      </c>
      <c r="AA85" s="3">
        <v>96</v>
      </c>
      <c r="AB85" s="3">
        <v>84</v>
      </c>
    </row>
    <row r="86" spans="24:28" x14ac:dyDescent="0.35">
      <c r="X86" s="3" t="s">
        <v>4</v>
      </c>
      <c r="Y86" s="3">
        <v>6</v>
      </c>
      <c r="Z86" s="3">
        <v>60</v>
      </c>
      <c r="AA86" s="3">
        <v>75</v>
      </c>
      <c r="AB86" s="3">
        <v>87</v>
      </c>
    </row>
    <row r="87" spans="24:28" x14ac:dyDescent="0.35">
      <c r="X87" s="3" t="s">
        <v>3</v>
      </c>
      <c r="Y87" s="3">
        <v>7</v>
      </c>
      <c r="Z87" s="3">
        <v>60</v>
      </c>
      <c r="AA87" s="3">
        <v>51</v>
      </c>
      <c r="AB87" s="3">
        <v>15</v>
      </c>
    </row>
    <row r="88" spans="24:28" x14ac:dyDescent="0.35">
      <c r="X88" s="3" t="s">
        <v>3</v>
      </c>
      <c r="Y88" s="3">
        <v>8</v>
      </c>
      <c r="Z88" s="3">
        <v>60</v>
      </c>
      <c r="AA88" s="3">
        <v>51</v>
      </c>
      <c r="AB88" s="3">
        <v>0</v>
      </c>
    </row>
    <row r="89" spans="24:28" x14ac:dyDescent="0.35">
      <c r="X89" s="3" t="s">
        <v>3</v>
      </c>
      <c r="Y89" s="3">
        <v>9</v>
      </c>
      <c r="Z89" s="3">
        <v>60</v>
      </c>
      <c r="AA89" s="3">
        <v>78</v>
      </c>
      <c r="AB89" s="3">
        <v>87</v>
      </c>
    </row>
    <row r="90" spans="24:28" x14ac:dyDescent="0.35">
      <c r="X90" s="3" t="s">
        <v>3</v>
      </c>
      <c r="Y90" s="3">
        <v>10</v>
      </c>
      <c r="Z90" s="3">
        <v>60</v>
      </c>
      <c r="AA90" s="3">
        <v>78</v>
      </c>
      <c r="AB90" s="3">
        <v>78</v>
      </c>
    </row>
    <row r="91" spans="24:28" x14ac:dyDescent="0.35">
      <c r="X91" s="3" t="s">
        <v>3</v>
      </c>
      <c r="Y91" s="3">
        <v>11</v>
      </c>
      <c r="Z91" s="3">
        <v>60</v>
      </c>
      <c r="AA91" s="3">
        <v>75</v>
      </c>
      <c r="AB91" s="3">
        <v>60</v>
      </c>
    </row>
    <row r="92" spans="24:28" x14ac:dyDescent="0.35">
      <c r="X92" s="3" t="s">
        <v>3</v>
      </c>
      <c r="Y92" s="3">
        <v>12</v>
      </c>
      <c r="Z92" s="3">
        <v>60</v>
      </c>
      <c r="AA92" s="3">
        <v>81</v>
      </c>
      <c r="AB92" s="3">
        <v>78</v>
      </c>
    </row>
    <row r="93" spans="24:28" x14ac:dyDescent="0.35">
      <c r="X93" s="3" t="s">
        <v>4</v>
      </c>
      <c r="Y93" s="3">
        <v>7</v>
      </c>
      <c r="Z93" s="3">
        <v>60</v>
      </c>
      <c r="AA93" s="3">
        <v>81</v>
      </c>
      <c r="AB93" s="3">
        <v>60</v>
      </c>
    </row>
    <row r="94" spans="24:28" x14ac:dyDescent="0.35">
      <c r="X94" s="3" t="s">
        <v>4</v>
      </c>
      <c r="Y94" s="3">
        <v>8</v>
      </c>
      <c r="Z94" s="3">
        <v>60</v>
      </c>
      <c r="AA94" s="3">
        <v>99</v>
      </c>
      <c r="AB94" s="3">
        <v>78</v>
      </c>
    </row>
    <row r="95" spans="24:28" x14ac:dyDescent="0.35">
      <c r="X95" s="3" t="s">
        <v>4</v>
      </c>
      <c r="Y95" s="3">
        <v>9</v>
      </c>
      <c r="Z95" s="3">
        <v>60</v>
      </c>
      <c r="AA95" s="3">
        <v>45</v>
      </c>
      <c r="AB95" s="3">
        <v>93</v>
      </c>
    </row>
    <row r="96" spans="24:28" x14ac:dyDescent="0.35">
      <c r="X96" s="3" t="s">
        <v>4</v>
      </c>
      <c r="Y96" s="3">
        <v>10</v>
      </c>
      <c r="Z96" s="3">
        <v>60</v>
      </c>
      <c r="AA96" s="3">
        <v>81</v>
      </c>
      <c r="AB96" s="3">
        <v>75</v>
      </c>
    </row>
    <row r="97" spans="24:28" x14ac:dyDescent="0.35">
      <c r="X97" s="3" t="s">
        <v>4</v>
      </c>
      <c r="Y97" s="3">
        <v>11</v>
      </c>
      <c r="Z97" s="3">
        <v>60</v>
      </c>
      <c r="AA97" s="3">
        <v>42</v>
      </c>
      <c r="AB97" s="3">
        <v>84</v>
      </c>
    </row>
    <row r="98" spans="24:28" x14ac:dyDescent="0.35">
      <c r="X98" s="3" t="s">
        <v>4</v>
      </c>
      <c r="Y98" s="3">
        <v>12</v>
      </c>
      <c r="Z98" s="3">
        <v>60</v>
      </c>
      <c r="AA98" s="3">
        <v>60</v>
      </c>
      <c r="AB98" s="3">
        <v>84</v>
      </c>
    </row>
    <row r="99" spans="24:28" x14ac:dyDescent="0.35">
      <c r="X99" s="3" t="s">
        <v>5</v>
      </c>
      <c r="Y99" s="3">
        <v>1</v>
      </c>
      <c r="Z99" s="3">
        <v>60</v>
      </c>
      <c r="AA99" s="3">
        <v>69</v>
      </c>
      <c r="AB99" s="3">
        <v>60</v>
      </c>
    </row>
    <row r="100" spans="24:28" x14ac:dyDescent="0.35">
      <c r="X100" s="3" t="s">
        <v>5</v>
      </c>
      <c r="Y100" s="3">
        <v>2</v>
      </c>
      <c r="Z100" s="3">
        <v>60</v>
      </c>
      <c r="AA100" s="3">
        <v>57</v>
      </c>
      <c r="AB100" s="3">
        <v>63</v>
      </c>
    </row>
    <row r="101" spans="24:28" x14ac:dyDescent="0.35">
      <c r="X101" s="3" t="s">
        <v>5</v>
      </c>
      <c r="Y101" s="3">
        <v>3</v>
      </c>
      <c r="Z101" s="3">
        <v>60</v>
      </c>
      <c r="AA101" s="3">
        <v>33</v>
      </c>
      <c r="AB101" s="3">
        <v>66</v>
      </c>
    </row>
    <row r="102" spans="24:28" x14ac:dyDescent="0.35">
      <c r="X102" s="3" t="s">
        <v>5</v>
      </c>
      <c r="Y102" s="3">
        <v>4</v>
      </c>
      <c r="Z102" s="3">
        <v>60</v>
      </c>
      <c r="AA102" s="3">
        <v>0</v>
      </c>
      <c r="AB102" s="3">
        <v>69</v>
      </c>
    </row>
    <row r="103" spans="24:28" x14ac:dyDescent="0.35">
      <c r="X103" s="3" t="s">
        <v>5</v>
      </c>
      <c r="Y103" s="3">
        <v>5</v>
      </c>
      <c r="Z103" s="3">
        <v>60</v>
      </c>
      <c r="AA103" s="3">
        <v>63</v>
      </c>
      <c r="AB103" s="3">
        <v>81</v>
      </c>
    </row>
    <row r="104" spans="24:28" x14ac:dyDescent="0.35">
      <c r="X104" s="3" t="s">
        <v>5</v>
      </c>
      <c r="Y104" s="3">
        <v>6</v>
      </c>
      <c r="Z104" s="3">
        <v>60</v>
      </c>
      <c r="AA104" s="3">
        <v>0</v>
      </c>
      <c r="AB104" s="3">
        <v>66</v>
      </c>
    </row>
    <row r="105" spans="24:28" x14ac:dyDescent="0.35">
      <c r="X105" s="3" t="s">
        <v>5</v>
      </c>
      <c r="Y105" s="3">
        <v>7</v>
      </c>
      <c r="Z105" s="3">
        <v>60</v>
      </c>
      <c r="AA105" s="3">
        <v>78</v>
      </c>
      <c r="AB105" s="3">
        <v>66</v>
      </c>
    </row>
    <row r="106" spans="24:28" x14ac:dyDescent="0.35">
      <c r="X106" s="3" t="s">
        <v>5</v>
      </c>
      <c r="Y106" s="3">
        <v>8</v>
      </c>
      <c r="Z106" s="3">
        <v>60</v>
      </c>
      <c r="AA106" s="3">
        <v>87</v>
      </c>
      <c r="AB106" s="3">
        <v>75</v>
      </c>
    </row>
    <row r="107" spans="24:28" x14ac:dyDescent="0.35">
      <c r="X107" s="3" t="s">
        <v>5</v>
      </c>
      <c r="Y107" s="3">
        <v>9</v>
      </c>
      <c r="Z107" s="3">
        <v>60</v>
      </c>
      <c r="AA107" s="3">
        <v>42</v>
      </c>
      <c r="AB107" s="3">
        <v>36</v>
      </c>
    </row>
    <row r="108" spans="24:28" x14ac:dyDescent="0.35">
      <c r="X108" s="3" t="s">
        <v>5</v>
      </c>
      <c r="Y108" s="3">
        <v>10</v>
      </c>
      <c r="Z108" s="3">
        <v>60</v>
      </c>
      <c r="AA108" s="3">
        <v>60</v>
      </c>
      <c r="AB108" s="3">
        <v>60</v>
      </c>
    </row>
    <row r="109" spans="24:28" x14ac:dyDescent="0.35">
      <c r="X109" s="3" t="s">
        <v>5</v>
      </c>
      <c r="Y109" s="3">
        <v>11</v>
      </c>
      <c r="Z109" s="3">
        <v>60</v>
      </c>
      <c r="AA109" s="3">
        <v>60</v>
      </c>
      <c r="AB109" s="3">
        <v>63</v>
      </c>
    </row>
    <row r="110" spans="24:28" x14ac:dyDescent="0.35">
      <c r="X110" s="3" t="s">
        <v>5</v>
      </c>
      <c r="Y110" s="3">
        <v>12</v>
      </c>
      <c r="Z110" s="3">
        <v>60</v>
      </c>
      <c r="AA110" s="3">
        <v>39</v>
      </c>
      <c r="AB110" s="3">
        <v>66</v>
      </c>
    </row>
    <row r="111" spans="24:28" x14ac:dyDescent="0.35">
      <c r="X111" s="3" t="s">
        <v>3</v>
      </c>
      <c r="Y111" s="3">
        <v>1</v>
      </c>
      <c r="Z111" s="3">
        <v>80</v>
      </c>
      <c r="AA111" s="3">
        <v>45</v>
      </c>
      <c r="AB111" s="3">
        <v>66</v>
      </c>
    </row>
    <row r="112" spans="24:28" x14ac:dyDescent="0.35">
      <c r="X112" s="3" t="s">
        <v>4</v>
      </c>
      <c r="Y112" s="3">
        <v>1</v>
      </c>
      <c r="Z112" s="3">
        <v>80</v>
      </c>
      <c r="AA112" s="3">
        <v>48</v>
      </c>
      <c r="AB112" s="3">
        <v>96</v>
      </c>
    </row>
    <row r="113" spans="24:28" x14ac:dyDescent="0.35">
      <c r="X113" s="3" t="s">
        <v>4</v>
      </c>
      <c r="Y113" s="3">
        <v>2</v>
      </c>
      <c r="Z113" s="3">
        <v>80</v>
      </c>
      <c r="AA113" s="3">
        <v>69</v>
      </c>
      <c r="AB113" s="3">
        <v>75</v>
      </c>
    </row>
    <row r="114" spans="24:28" x14ac:dyDescent="0.35">
      <c r="X114" s="3" t="s">
        <v>3</v>
      </c>
      <c r="Y114" s="3">
        <v>2</v>
      </c>
      <c r="Z114" s="3">
        <v>80</v>
      </c>
      <c r="AA114" s="3">
        <v>75</v>
      </c>
      <c r="AB114" s="3">
        <v>66</v>
      </c>
    </row>
    <row r="115" spans="24:28" x14ac:dyDescent="0.35">
      <c r="X115" s="3" t="s">
        <v>4</v>
      </c>
      <c r="Y115" s="3">
        <v>3</v>
      </c>
      <c r="Z115" s="3">
        <v>80</v>
      </c>
      <c r="AA115" s="3">
        <v>51</v>
      </c>
      <c r="AB115" s="3">
        <v>72</v>
      </c>
    </row>
    <row r="116" spans="24:28" x14ac:dyDescent="0.35">
      <c r="X116" s="3" t="s">
        <v>3</v>
      </c>
      <c r="Y116" s="3">
        <v>3</v>
      </c>
      <c r="Z116" s="3">
        <v>80</v>
      </c>
      <c r="AA116" s="3">
        <v>54</v>
      </c>
      <c r="AB116" s="3">
        <v>66</v>
      </c>
    </row>
    <row r="117" spans="24:28" x14ac:dyDescent="0.35">
      <c r="X117" s="3" t="s">
        <v>4</v>
      </c>
      <c r="Y117" s="3">
        <v>4</v>
      </c>
      <c r="Z117" s="3">
        <v>80</v>
      </c>
      <c r="AA117" s="3">
        <v>111</v>
      </c>
      <c r="AB117" s="3">
        <v>96</v>
      </c>
    </row>
    <row r="118" spans="24:28" x14ac:dyDescent="0.35">
      <c r="X118" s="3" t="s">
        <v>3</v>
      </c>
      <c r="Y118" s="3">
        <v>4</v>
      </c>
      <c r="Z118" s="3">
        <v>80</v>
      </c>
      <c r="AA118" s="3">
        <v>81</v>
      </c>
      <c r="AB118" s="3">
        <v>84</v>
      </c>
    </row>
    <row r="119" spans="24:28" x14ac:dyDescent="0.35">
      <c r="X119" s="3" t="s">
        <v>3</v>
      </c>
      <c r="Y119" s="3">
        <v>5</v>
      </c>
      <c r="Z119" s="3">
        <v>80</v>
      </c>
      <c r="AA119" s="3">
        <v>87</v>
      </c>
      <c r="AB119" s="3">
        <v>93</v>
      </c>
    </row>
    <row r="120" spans="24:28" x14ac:dyDescent="0.35">
      <c r="X120" s="3" t="s">
        <v>4</v>
      </c>
      <c r="Y120" s="3">
        <v>5</v>
      </c>
      <c r="Z120" s="3">
        <v>80</v>
      </c>
      <c r="AA120" s="3">
        <v>69</v>
      </c>
      <c r="AB120" s="3">
        <v>54</v>
      </c>
    </row>
    <row r="121" spans="24:28" x14ac:dyDescent="0.35">
      <c r="X121" s="3" t="s">
        <v>3</v>
      </c>
      <c r="Y121" s="3">
        <v>6</v>
      </c>
      <c r="Z121" s="3">
        <v>80</v>
      </c>
      <c r="AA121" s="3">
        <v>84</v>
      </c>
      <c r="AB121" s="3">
        <v>93</v>
      </c>
    </row>
    <row r="122" spans="24:28" x14ac:dyDescent="0.35">
      <c r="X122" s="3" t="s">
        <v>4</v>
      </c>
      <c r="Y122" s="3">
        <v>6</v>
      </c>
      <c r="Z122" s="3">
        <v>80</v>
      </c>
      <c r="AA122" s="3">
        <v>69</v>
      </c>
      <c r="AB122" s="3">
        <v>72</v>
      </c>
    </row>
    <row r="123" spans="24:28" x14ac:dyDescent="0.35">
      <c r="X123" s="3" t="s">
        <v>3</v>
      </c>
      <c r="Y123" s="3">
        <v>7</v>
      </c>
      <c r="Z123" s="3">
        <v>80</v>
      </c>
      <c r="AA123" s="3">
        <v>36</v>
      </c>
      <c r="AB123" s="3">
        <v>48</v>
      </c>
    </row>
    <row r="124" spans="24:28" x14ac:dyDescent="0.35">
      <c r="X124" s="3" t="s">
        <v>3</v>
      </c>
      <c r="Y124" s="3">
        <v>8</v>
      </c>
      <c r="Z124" s="3">
        <v>80</v>
      </c>
      <c r="AA124" s="3">
        <v>63</v>
      </c>
      <c r="AB124" s="3">
        <v>27</v>
      </c>
    </row>
    <row r="125" spans="24:28" x14ac:dyDescent="0.35">
      <c r="X125" s="3" t="s">
        <v>3</v>
      </c>
      <c r="Y125" s="3">
        <v>9</v>
      </c>
      <c r="Z125" s="3">
        <v>80</v>
      </c>
      <c r="AA125" s="3">
        <v>75</v>
      </c>
      <c r="AB125" s="3">
        <v>81</v>
      </c>
    </row>
    <row r="126" spans="24:28" x14ac:dyDescent="0.35">
      <c r="X126" s="3" t="s">
        <v>3</v>
      </c>
      <c r="Y126" s="3">
        <v>10</v>
      </c>
      <c r="Z126" s="3">
        <v>80</v>
      </c>
      <c r="AA126" s="3">
        <v>78</v>
      </c>
      <c r="AB126" s="3">
        <v>69</v>
      </c>
    </row>
    <row r="127" spans="24:28" x14ac:dyDescent="0.35">
      <c r="X127" s="3" t="s">
        <v>3</v>
      </c>
      <c r="Y127" s="3">
        <v>11</v>
      </c>
      <c r="Z127" s="3">
        <v>80</v>
      </c>
      <c r="AA127" s="3">
        <v>75</v>
      </c>
      <c r="AB127" s="3">
        <v>60</v>
      </c>
    </row>
    <row r="128" spans="24:28" x14ac:dyDescent="0.35">
      <c r="X128" s="3" t="s">
        <v>3</v>
      </c>
      <c r="Y128" s="3">
        <v>12</v>
      </c>
      <c r="Z128" s="3">
        <v>80</v>
      </c>
      <c r="AA128" s="3">
        <v>78</v>
      </c>
      <c r="AB128" s="3">
        <v>66</v>
      </c>
    </row>
    <row r="129" spans="24:28" x14ac:dyDescent="0.35">
      <c r="X129" s="3" t="s">
        <v>4</v>
      </c>
      <c r="Y129" s="3">
        <v>7</v>
      </c>
      <c r="Z129" s="3">
        <v>80</v>
      </c>
      <c r="AA129" s="3">
        <v>102</v>
      </c>
      <c r="AB129" s="3">
        <v>60</v>
      </c>
    </row>
    <row r="130" spans="24:28" x14ac:dyDescent="0.35">
      <c r="X130" s="3" t="s">
        <v>4</v>
      </c>
      <c r="Y130" s="3">
        <v>8</v>
      </c>
      <c r="Z130" s="3">
        <v>80</v>
      </c>
      <c r="AA130" s="3">
        <v>69</v>
      </c>
      <c r="AB130" s="3">
        <v>66</v>
      </c>
    </row>
    <row r="131" spans="24:28" x14ac:dyDescent="0.35">
      <c r="X131" s="3" t="s">
        <v>4</v>
      </c>
      <c r="Y131" s="3">
        <v>9</v>
      </c>
      <c r="Z131" s="3">
        <v>80</v>
      </c>
      <c r="AA131" s="3">
        <v>78</v>
      </c>
      <c r="AB131" s="3">
        <v>87</v>
      </c>
    </row>
    <row r="132" spans="24:28" x14ac:dyDescent="0.35">
      <c r="X132" s="3" t="s">
        <v>4</v>
      </c>
      <c r="Y132" s="3">
        <v>10</v>
      </c>
      <c r="Z132" s="3">
        <v>80</v>
      </c>
      <c r="AA132" s="3">
        <v>69</v>
      </c>
      <c r="AB132" s="3">
        <v>102</v>
      </c>
    </row>
    <row r="133" spans="24:28" x14ac:dyDescent="0.35">
      <c r="X133" s="3" t="s">
        <v>4</v>
      </c>
      <c r="Y133" s="3">
        <v>11</v>
      </c>
      <c r="Z133" s="3">
        <v>80</v>
      </c>
      <c r="AA133" s="3">
        <v>75</v>
      </c>
      <c r="AB133" s="3">
        <v>72</v>
      </c>
    </row>
    <row r="134" spans="24:28" x14ac:dyDescent="0.35">
      <c r="X134" s="3" t="s">
        <v>4</v>
      </c>
      <c r="Y134" s="3">
        <v>12</v>
      </c>
      <c r="Z134" s="3">
        <v>80</v>
      </c>
      <c r="AA134" s="3">
        <v>69</v>
      </c>
      <c r="AB134" s="3">
        <v>81</v>
      </c>
    </row>
    <row r="135" spans="24:28" x14ac:dyDescent="0.35">
      <c r="X135" s="3" t="s">
        <v>5</v>
      </c>
      <c r="Y135" s="3">
        <v>1</v>
      </c>
      <c r="Z135" s="3">
        <v>80</v>
      </c>
      <c r="AA135" s="3">
        <v>66</v>
      </c>
      <c r="AB135" s="3">
        <v>60</v>
      </c>
    </row>
    <row r="136" spans="24:28" x14ac:dyDescent="0.35">
      <c r="X136" s="3" t="s">
        <v>5</v>
      </c>
      <c r="Y136" s="3">
        <v>2</v>
      </c>
      <c r="Z136" s="3">
        <v>80</v>
      </c>
      <c r="AA136" s="3">
        <v>72</v>
      </c>
      <c r="AB136" s="3">
        <v>72</v>
      </c>
    </row>
    <row r="137" spans="24:28" x14ac:dyDescent="0.35">
      <c r="X137" s="3" t="s">
        <v>5</v>
      </c>
      <c r="Y137" s="3">
        <v>3</v>
      </c>
      <c r="Z137" s="3">
        <v>80</v>
      </c>
      <c r="AA137" s="3">
        <v>57</v>
      </c>
      <c r="AB137" s="3">
        <v>63</v>
      </c>
    </row>
    <row r="138" spans="24:28" x14ac:dyDescent="0.35">
      <c r="X138" s="3" t="s">
        <v>5</v>
      </c>
      <c r="Y138" s="3">
        <v>4</v>
      </c>
      <c r="Z138" s="3">
        <v>80</v>
      </c>
      <c r="AA138" s="3">
        <v>18</v>
      </c>
      <c r="AB138" s="3">
        <v>75</v>
      </c>
    </row>
    <row r="139" spans="24:28" x14ac:dyDescent="0.35">
      <c r="X139" s="3" t="s">
        <v>5</v>
      </c>
      <c r="Y139" s="3">
        <v>5</v>
      </c>
      <c r="Z139" s="3">
        <v>80</v>
      </c>
      <c r="AA139" s="3">
        <v>45</v>
      </c>
      <c r="AB139" s="3">
        <v>66</v>
      </c>
    </row>
    <row r="140" spans="24:28" x14ac:dyDescent="0.35">
      <c r="X140" s="3" t="s">
        <v>5</v>
      </c>
      <c r="Y140" s="3">
        <v>6</v>
      </c>
      <c r="Z140" s="3">
        <v>80</v>
      </c>
      <c r="AA140" s="3">
        <v>66</v>
      </c>
      <c r="AB140" s="3">
        <v>66</v>
      </c>
    </row>
    <row r="141" spans="24:28" x14ac:dyDescent="0.35">
      <c r="X141" s="3" t="s">
        <v>5</v>
      </c>
      <c r="Y141" s="3">
        <v>7</v>
      </c>
      <c r="Z141" s="3">
        <v>80</v>
      </c>
      <c r="AA141" s="3">
        <v>75</v>
      </c>
      <c r="AB141" s="3">
        <v>63</v>
      </c>
    </row>
    <row r="142" spans="24:28" x14ac:dyDescent="0.35">
      <c r="X142" s="3" t="s">
        <v>5</v>
      </c>
      <c r="Y142" s="3">
        <v>8</v>
      </c>
      <c r="Z142" s="3">
        <v>80</v>
      </c>
      <c r="AA142" s="3">
        <v>78</v>
      </c>
      <c r="AB142" s="3">
        <v>72</v>
      </c>
    </row>
    <row r="143" spans="24:28" x14ac:dyDescent="0.35">
      <c r="X143" s="3" t="s">
        <v>5</v>
      </c>
      <c r="Y143" s="3">
        <v>9</v>
      </c>
      <c r="Z143" s="3">
        <v>80</v>
      </c>
      <c r="AA143" s="3">
        <v>75</v>
      </c>
      <c r="AB143" s="3">
        <v>87</v>
      </c>
    </row>
    <row r="144" spans="24:28" x14ac:dyDescent="0.35">
      <c r="X144" s="3" t="s">
        <v>5</v>
      </c>
      <c r="Y144" s="3">
        <v>10</v>
      </c>
      <c r="Z144" s="3">
        <v>80</v>
      </c>
      <c r="AA144" s="3">
        <v>60</v>
      </c>
      <c r="AB144" s="3">
        <v>69</v>
      </c>
    </row>
    <row r="145" spans="24:28" x14ac:dyDescent="0.35">
      <c r="X145" s="3" t="s">
        <v>5</v>
      </c>
      <c r="Y145" s="3">
        <v>11</v>
      </c>
      <c r="Z145" s="3">
        <v>80</v>
      </c>
      <c r="AA145" s="3">
        <v>66</v>
      </c>
      <c r="AB145" s="3">
        <v>72</v>
      </c>
    </row>
    <row r="146" spans="24:28" x14ac:dyDescent="0.35">
      <c r="X146" s="3" t="s">
        <v>5</v>
      </c>
      <c r="Y146" s="3">
        <v>12</v>
      </c>
      <c r="Z146" s="3">
        <v>80</v>
      </c>
      <c r="AA146" s="3">
        <v>72</v>
      </c>
      <c r="AB146" s="3">
        <v>66</v>
      </c>
    </row>
    <row r="147" spans="24:28" x14ac:dyDescent="0.35">
      <c r="X147" s="3" t="s">
        <v>3</v>
      </c>
      <c r="Y147" s="3">
        <v>1</v>
      </c>
      <c r="Z147" s="3">
        <v>100</v>
      </c>
      <c r="AA147" s="3">
        <v>63</v>
      </c>
      <c r="AB147" s="3">
        <v>72</v>
      </c>
    </row>
    <row r="148" spans="24:28" x14ac:dyDescent="0.35">
      <c r="X148" s="3" t="s">
        <v>4</v>
      </c>
      <c r="Y148" s="3">
        <v>1</v>
      </c>
      <c r="Z148" s="3">
        <v>100</v>
      </c>
      <c r="AA148" s="3">
        <v>51</v>
      </c>
      <c r="AB148" s="3">
        <v>99</v>
      </c>
    </row>
    <row r="149" spans="24:28" x14ac:dyDescent="0.35">
      <c r="X149" s="3" t="s">
        <v>4</v>
      </c>
      <c r="Y149" s="3">
        <v>2</v>
      </c>
      <c r="Z149" s="3">
        <v>100</v>
      </c>
      <c r="AA149" s="3">
        <v>54</v>
      </c>
      <c r="AB149" s="3">
        <v>75</v>
      </c>
    </row>
    <row r="150" spans="24:28" x14ac:dyDescent="0.35">
      <c r="X150" s="3" t="s">
        <v>3</v>
      </c>
      <c r="Y150" s="3">
        <v>2</v>
      </c>
      <c r="Z150" s="3">
        <v>100</v>
      </c>
      <c r="AA150" s="3">
        <v>84</v>
      </c>
      <c r="AB150" s="3">
        <v>54</v>
      </c>
    </row>
    <row r="151" spans="24:28" x14ac:dyDescent="0.35">
      <c r="X151" s="3" t="s">
        <v>4</v>
      </c>
      <c r="Y151" s="3">
        <v>3</v>
      </c>
      <c r="Z151" s="3">
        <v>100</v>
      </c>
      <c r="AA151" s="3">
        <v>63</v>
      </c>
      <c r="AB151" s="3">
        <v>72</v>
      </c>
    </row>
    <row r="152" spans="24:28" x14ac:dyDescent="0.35">
      <c r="X152" s="3" t="s">
        <v>3</v>
      </c>
      <c r="Y152" s="3">
        <v>3</v>
      </c>
      <c r="Z152" s="3">
        <v>100</v>
      </c>
      <c r="AA152" s="3">
        <v>66</v>
      </c>
      <c r="AB152" s="3">
        <v>66</v>
      </c>
    </row>
    <row r="153" spans="24:28" x14ac:dyDescent="0.35">
      <c r="X153" s="3" t="s">
        <v>4</v>
      </c>
      <c r="Y153" s="3">
        <v>4</v>
      </c>
      <c r="Z153" s="3">
        <v>100</v>
      </c>
      <c r="AA153" s="3">
        <v>114</v>
      </c>
      <c r="AB153" s="3">
        <v>90</v>
      </c>
    </row>
    <row r="154" spans="24:28" x14ac:dyDescent="0.35">
      <c r="X154" s="3" t="s">
        <v>3</v>
      </c>
      <c r="Y154" s="3">
        <v>4</v>
      </c>
      <c r="Z154" s="3">
        <v>100</v>
      </c>
      <c r="AA154" s="3">
        <v>72</v>
      </c>
      <c r="AB154" s="3">
        <v>90</v>
      </c>
    </row>
    <row r="155" spans="24:28" x14ac:dyDescent="0.35">
      <c r="X155" s="3" t="s">
        <v>3</v>
      </c>
      <c r="Y155" s="3">
        <v>5</v>
      </c>
      <c r="Z155" s="3">
        <v>100</v>
      </c>
      <c r="AA155" s="3">
        <v>69</v>
      </c>
      <c r="AB155" s="3">
        <v>90</v>
      </c>
    </row>
    <row r="156" spans="24:28" x14ac:dyDescent="0.35">
      <c r="X156" s="3" t="s">
        <v>4</v>
      </c>
      <c r="Y156" s="3">
        <v>5</v>
      </c>
      <c r="Z156" s="3">
        <v>100</v>
      </c>
      <c r="AA156" s="3">
        <v>60</v>
      </c>
      <c r="AB156" s="3">
        <v>60</v>
      </c>
    </row>
    <row r="157" spans="24:28" x14ac:dyDescent="0.35">
      <c r="X157" s="3" t="s">
        <v>3</v>
      </c>
      <c r="Y157" s="3">
        <v>6</v>
      </c>
      <c r="Z157" s="3">
        <v>100</v>
      </c>
      <c r="AA157" s="3">
        <v>93</v>
      </c>
      <c r="AB157" s="3">
        <v>75</v>
      </c>
    </row>
    <row r="158" spans="24:28" x14ac:dyDescent="0.35">
      <c r="X158" s="3" t="s">
        <v>4</v>
      </c>
      <c r="Y158" s="3">
        <v>6</v>
      </c>
      <c r="Z158" s="3">
        <v>100</v>
      </c>
      <c r="AA158" s="3">
        <v>66</v>
      </c>
      <c r="AB158" s="3">
        <v>66</v>
      </c>
    </row>
    <row r="159" spans="24:28" x14ac:dyDescent="0.35">
      <c r="X159" s="3" t="s">
        <v>3</v>
      </c>
      <c r="Y159" s="3">
        <v>7</v>
      </c>
      <c r="Z159" s="3">
        <v>100</v>
      </c>
      <c r="AA159" s="3">
        <v>57</v>
      </c>
      <c r="AB159" s="3">
        <v>84</v>
      </c>
    </row>
    <row r="160" spans="24:28" x14ac:dyDescent="0.35">
      <c r="X160" s="3" t="s">
        <v>3</v>
      </c>
      <c r="Y160" s="3">
        <v>8</v>
      </c>
      <c r="Z160" s="3">
        <v>100</v>
      </c>
      <c r="AA160" s="3">
        <v>60</v>
      </c>
      <c r="AB160" s="3">
        <v>75</v>
      </c>
    </row>
    <row r="161" spans="24:28" x14ac:dyDescent="0.35">
      <c r="X161" s="3" t="s">
        <v>3</v>
      </c>
      <c r="Y161" s="3">
        <v>9</v>
      </c>
      <c r="Z161" s="3">
        <v>100</v>
      </c>
      <c r="AA161" s="3">
        <v>87</v>
      </c>
      <c r="AB161" s="3">
        <v>81</v>
      </c>
    </row>
    <row r="162" spans="24:28" x14ac:dyDescent="0.35">
      <c r="X162" s="3" t="s">
        <v>3</v>
      </c>
      <c r="Y162" s="3">
        <v>10</v>
      </c>
      <c r="Z162" s="3">
        <v>100</v>
      </c>
      <c r="AA162" s="3">
        <v>99</v>
      </c>
      <c r="AB162" s="3">
        <v>66</v>
      </c>
    </row>
    <row r="163" spans="24:28" x14ac:dyDescent="0.35">
      <c r="X163" s="3" t="s">
        <v>3</v>
      </c>
      <c r="Y163" s="3">
        <v>11</v>
      </c>
      <c r="Z163" s="3">
        <v>100</v>
      </c>
      <c r="AA163" s="3">
        <v>75</v>
      </c>
      <c r="AB163" s="3">
        <v>63</v>
      </c>
    </row>
    <row r="164" spans="24:28" x14ac:dyDescent="0.35">
      <c r="X164" s="3" t="s">
        <v>3</v>
      </c>
      <c r="Y164" s="3">
        <v>12</v>
      </c>
      <c r="Z164" s="3">
        <v>100</v>
      </c>
      <c r="AA164" s="3">
        <v>78</v>
      </c>
      <c r="AB164" s="3">
        <v>66</v>
      </c>
    </row>
    <row r="165" spans="24:28" x14ac:dyDescent="0.35">
      <c r="X165" s="3" t="s">
        <v>4</v>
      </c>
      <c r="Y165" s="3">
        <v>7</v>
      </c>
      <c r="Z165" s="3">
        <v>100</v>
      </c>
      <c r="AA165" s="3">
        <v>90</v>
      </c>
      <c r="AB165" s="3">
        <v>102</v>
      </c>
    </row>
    <row r="166" spans="24:28" x14ac:dyDescent="0.35">
      <c r="X166" s="3" t="s">
        <v>4</v>
      </c>
      <c r="Y166" s="3">
        <v>8</v>
      </c>
      <c r="Z166" s="3">
        <v>100</v>
      </c>
      <c r="AA166" s="3">
        <v>99</v>
      </c>
      <c r="AB166" s="3">
        <v>72</v>
      </c>
    </row>
    <row r="167" spans="24:28" x14ac:dyDescent="0.35">
      <c r="X167" s="3" t="s">
        <v>4</v>
      </c>
      <c r="Y167" s="3">
        <v>9</v>
      </c>
      <c r="Z167" s="3">
        <v>100</v>
      </c>
      <c r="AA167" s="3">
        <v>93</v>
      </c>
      <c r="AB167" s="3">
        <v>75</v>
      </c>
    </row>
    <row r="168" spans="24:28" x14ac:dyDescent="0.35">
      <c r="X168" s="3" t="s">
        <v>4</v>
      </c>
      <c r="Y168" s="3">
        <v>10</v>
      </c>
      <c r="Z168" s="3">
        <v>100</v>
      </c>
      <c r="AA168" s="3">
        <v>72</v>
      </c>
      <c r="AB168" s="3">
        <v>69</v>
      </c>
    </row>
    <row r="169" spans="24:28" x14ac:dyDescent="0.35">
      <c r="X169" s="3" t="s">
        <v>4</v>
      </c>
      <c r="Y169" s="3">
        <v>11</v>
      </c>
      <c r="Z169" s="3">
        <v>100</v>
      </c>
      <c r="AA169" s="3">
        <v>93</v>
      </c>
      <c r="AB169" s="3">
        <v>72</v>
      </c>
    </row>
    <row r="170" spans="24:28" x14ac:dyDescent="0.35">
      <c r="X170" s="3" t="s">
        <v>4</v>
      </c>
      <c r="Y170" s="3">
        <v>12</v>
      </c>
      <c r="Z170" s="3">
        <v>100</v>
      </c>
      <c r="AA170" s="3">
        <v>69</v>
      </c>
      <c r="AB170" s="3">
        <v>72</v>
      </c>
    </row>
    <row r="171" spans="24:28" x14ac:dyDescent="0.35">
      <c r="X171" s="3" t="s">
        <v>5</v>
      </c>
      <c r="Y171" s="3">
        <v>1</v>
      </c>
      <c r="Z171" s="3">
        <v>100</v>
      </c>
      <c r="AA171" s="3">
        <v>78</v>
      </c>
      <c r="AB171" s="3">
        <v>63</v>
      </c>
    </row>
    <row r="172" spans="24:28" x14ac:dyDescent="0.35">
      <c r="X172" s="3" t="s">
        <v>5</v>
      </c>
      <c r="Y172" s="3">
        <v>2</v>
      </c>
      <c r="Z172" s="3">
        <v>100</v>
      </c>
      <c r="AA172" s="3">
        <v>72</v>
      </c>
      <c r="AB172" s="3">
        <v>66</v>
      </c>
    </row>
    <row r="173" spans="24:28" x14ac:dyDescent="0.35">
      <c r="X173" s="3" t="s">
        <v>5</v>
      </c>
      <c r="Y173" s="3">
        <v>3</v>
      </c>
      <c r="Z173" s="3">
        <v>100</v>
      </c>
      <c r="AA173" s="3">
        <v>54</v>
      </c>
      <c r="AB173" s="3">
        <v>54</v>
      </c>
    </row>
    <row r="174" spans="24:28" x14ac:dyDescent="0.35">
      <c r="X174" s="3" t="s">
        <v>5</v>
      </c>
      <c r="Y174" s="3">
        <v>4</v>
      </c>
      <c r="Z174" s="3">
        <v>100</v>
      </c>
      <c r="AA174" s="3">
        <v>45</v>
      </c>
      <c r="AB174" s="3">
        <v>63</v>
      </c>
    </row>
    <row r="175" spans="24:28" x14ac:dyDescent="0.35">
      <c r="X175" s="3" t="s">
        <v>5</v>
      </c>
      <c r="Y175" s="3">
        <v>5</v>
      </c>
      <c r="Z175" s="3">
        <v>100</v>
      </c>
      <c r="AA175" s="3">
        <v>75</v>
      </c>
      <c r="AB175" s="3">
        <v>72</v>
      </c>
    </row>
    <row r="176" spans="24:28" x14ac:dyDescent="0.35">
      <c r="X176" s="3" t="s">
        <v>5</v>
      </c>
      <c r="Y176" s="3">
        <v>6</v>
      </c>
      <c r="Z176" s="3">
        <v>100</v>
      </c>
      <c r="AA176" s="3">
        <v>81</v>
      </c>
      <c r="AB176" s="3">
        <v>69</v>
      </c>
    </row>
    <row r="177" spans="24:28" x14ac:dyDescent="0.35">
      <c r="X177" s="3" t="s">
        <v>5</v>
      </c>
      <c r="Y177" s="3">
        <v>7</v>
      </c>
      <c r="Z177" s="3">
        <v>100</v>
      </c>
      <c r="AA177" s="3">
        <v>72</v>
      </c>
      <c r="AB177" s="3">
        <v>63</v>
      </c>
    </row>
    <row r="178" spans="24:28" x14ac:dyDescent="0.35">
      <c r="X178" s="3" t="s">
        <v>5</v>
      </c>
      <c r="Y178" s="3">
        <v>8</v>
      </c>
      <c r="Z178" s="3">
        <v>100</v>
      </c>
      <c r="AA178" s="3">
        <v>69</v>
      </c>
      <c r="AB178" s="3">
        <v>69</v>
      </c>
    </row>
    <row r="179" spans="24:28" x14ac:dyDescent="0.35">
      <c r="X179" s="3" t="s">
        <v>5</v>
      </c>
      <c r="Y179" s="3">
        <v>9</v>
      </c>
      <c r="Z179" s="3">
        <v>100</v>
      </c>
      <c r="AA179" s="3">
        <v>84</v>
      </c>
      <c r="AB179" s="3">
        <v>75</v>
      </c>
    </row>
    <row r="180" spans="24:28" x14ac:dyDescent="0.35">
      <c r="X180" s="3" t="s">
        <v>5</v>
      </c>
      <c r="Y180" s="3">
        <v>10</v>
      </c>
      <c r="Z180" s="3">
        <v>100</v>
      </c>
      <c r="AA180" s="3">
        <v>114</v>
      </c>
      <c r="AB180" s="3">
        <v>72</v>
      </c>
    </row>
    <row r="181" spans="24:28" x14ac:dyDescent="0.35">
      <c r="X181" s="3" t="s">
        <v>5</v>
      </c>
      <c r="Y181" s="3">
        <v>11</v>
      </c>
      <c r="Z181" s="3">
        <v>100</v>
      </c>
      <c r="AA181" s="3">
        <v>75</v>
      </c>
      <c r="AB181" s="3">
        <v>69</v>
      </c>
    </row>
    <row r="182" spans="24:28" x14ac:dyDescent="0.35">
      <c r="X182" s="3" t="s">
        <v>5</v>
      </c>
      <c r="Y182" s="3">
        <v>12</v>
      </c>
      <c r="Z182" s="3">
        <v>100</v>
      </c>
      <c r="AA182" s="3">
        <v>90</v>
      </c>
      <c r="AB182" s="3">
        <v>60</v>
      </c>
    </row>
    <row r="183" spans="24:28" x14ac:dyDescent="0.35">
      <c r="X183" s="3" t="s">
        <v>3</v>
      </c>
      <c r="Y183" s="3">
        <v>1</v>
      </c>
      <c r="Z183" s="3">
        <v>120</v>
      </c>
      <c r="AA183" s="3">
        <v>81</v>
      </c>
      <c r="AB183" s="3">
        <v>81</v>
      </c>
    </row>
    <row r="184" spans="24:28" x14ac:dyDescent="0.35">
      <c r="X184" s="3" t="s">
        <v>4</v>
      </c>
      <c r="Y184" s="3">
        <v>1</v>
      </c>
      <c r="Z184" s="3">
        <v>120</v>
      </c>
      <c r="AA184" s="3">
        <v>54</v>
      </c>
      <c r="AB184" s="3">
        <v>78</v>
      </c>
    </row>
    <row r="185" spans="24:28" x14ac:dyDescent="0.35">
      <c r="X185" s="3" t="s">
        <v>4</v>
      </c>
      <c r="Y185" s="3">
        <v>2</v>
      </c>
      <c r="Z185" s="3">
        <v>120</v>
      </c>
      <c r="AA185" s="3">
        <v>57</v>
      </c>
      <c r="AB185" s="3">
        <v>78</v>
      </c>
    </row>
    <row r="186" spans="24:28" x14ac:dyDescent="0.35">
      <c r="X186" s="3" t="s">
        <v>3</v>
      </c>
      <c r="Y186" s="3">
        <v>2</v>
      </c>
      <c r="Z186" s="3">
        <v>120</v>
      </c>
      <c r="AA186" s="3">
        <v>72</v>
      </c>
      <c r="AB186" s="3">
        <v>39</v>
      </c>
    </row>
    <row r="187" spans="24:28" x14ac:dyDescent="0.35">
      <c r="X187" s="3" t="s">
        <v>4</v>
      </c>
      <c r="Y187" s="3">
        <v>3</v>
      </c>
      <c r="Z187" s="3">
        <v>120</v>
      </c>
      <c r="AA187" s="3">
        <v>60</v>
      </c>
      <c r="AB187" s="3">
        <v>75</v>
      </c>
    </row>
    <row r="188" spans="24:28" x14ac:dyDescent="0.35">
      <c r="X188" s="3" t="s">
        <v>3</v>
      </c>
      <c r="Y188" s="3">
        <v>3</v>
      </c>
      <c r="Z188" s="3">
        <v>120</v>
      </c>
      <c r="AA188" s="3">
        <v>72</v>
      </c>
      <c r="AB188" s="3">
        <v>75</v>
      </c>
    </row>
    <row r="189" spans="24:28" x14ac:dyDescent="0.35">
      <c r="X189" s="3" t="s">
        <v>4</v>
      </c>
      <c r="Y189" s="3">
        <v>4</v>
      </c>
      <c r="Z189" s="3">
        <v>120</v>
      </c>
      <c r="AA189" s="3">
        <v>111</v>
      </c>
      <c r="AB189" s="3">
        <v>78</v>
      </c>
    </row>
    <row r="190" spans="24:28" x14ac:dyDescent="0.35">
      <c r="X190" s="3" t="s">
        <v>3</v>
      </c>
      <c r="Y190" s="3">
        <v>4</v>
      </c>
      <c r="Z190" s="3">
        <v>120</v>
      </c>
      <c r="AA190" s="3">
        <v>87</v>
      </c>
      <c r="AB190" s="3">
        <v>84</v>
      </c>
    </row>
    <row r="191" spans="24:28" x14ac:dyDescent="0.35">
      <c r="X191" s="3" t="s">
        <v>3</v>
      </c>
      <c r="Y191" s="3">
        <v>5</v>
      </c>
      <c r="Z191" s="3">
        <v>120</v>
      </c>
      <c r="AA191" s="3">
        <v>96</v>
      </c>
      <c r="AB191" s="3">
        <v>81</v>
      </c>
    </row>
    <row r="192" spans="24:28" x14ac:dyDescent="0.35">
      <c r="X192" s="3" t="s">
        <v>4</v>
      </c>
      <c r="Y192" s="3">
        <v>5</v>
      </c>
      <c r="Z192" s="3">
        <v>120</v>
      </c>
      <c r="AA192" s="3">
        <v>75</v>
      </c>
      <c r="AB192" s="3">
        <v>69</v>
      </c>
    </row>
    <row r="193" spans="24:28" x14ac:dyDescent="0.35">
      <c r="X193" s="3" t="s">
        <v>3</v>
      </c>
      <c r="Y193" s="3">
        <v>6</v>
      </c>
      <c r="Z193" s="3">
        <v>120</v>
      </c>
      <c r="AA193" s="3">
        <v>90</v>
      </c>
      <c r="AB193" s="3">
        <v>78</v>
      </c>
    </row>
    <row r="194" spans="24:28" x14ac:dyDescent="0.35">
      <c r="X194" s="3" t="s">
        <v>4</v>
      </c>
      <c r="Y194" s="3">
        <v>6</v>
      </c>
      <c r="Z194" s="3">
        <v>120</v>
      </c>
      <c r="AA194" s="3">
        <v>75</v>
      </c>
      <c r="AB194" s="3">
        <v>66</v>
      </c>
    </row>
    <row r="195" spans="24:28" x14ac:dyDescent="0.35">
      <c r="X195" s="3" t="s">
        <v>3</v>
      </c>
      <c r="Y195" s="3">
        <v>7</v>
      </c>
      <c r="Z195" s="3">
        <v>120</v>
      </c>
      <c r="AA195" s="3">
        <v>72</v>
      </c>
      <c r="AB195" s="3">
        <v>81</v>
      </c>
    </row>
    <row r="196" spans="24:28" x14ac:dyDescent="0.35">
      <c r="X196" s="3" t="s">
        <v>3</v>
      </c>
      <c r="Y196" s="3">
        <v>8</v>
      </c>
      <c r="Z196" s="3">
        <v>120</v>
      </c>
      <c r="AA196" s="3">
        <v>66</v>
      </c>
      <c r="AB196" s="3">
        <v>78</v>
      </c>
    </row>
    <row r="197" spans="24:28" x14ac:dyDescent="0.35">
      <c r="X197" s="3" t="s">
        <v>3</v>
      </c>
      <c r="Y197" s="3">
        <v>9</v>
      </c>
      <c r="Z197" s="3">
        <v>120</v>
      </c>
      <c r="AA197" s="3">
        <v>81</v>
      </c>
      <c r="AB197" s="3">
        <v>75</v>
      </c>
    </row>
    <row r="198" spans="24:28" x14ac:dyDescent="0.35">
      <c r="X198" s="3" t="s">
        <v>3</v>
      </c>
      <c r="Y198" s="3">
        <v>10</v>
      </c>
      <c r="Z198" s="3">
        <v>120</v>
      </c>
      <c r="AA198" s="3">
        <v>78</v>
      </c>
      <c r="AB198" s="3">
        <v>72</v>
      </c>
    </row>
    <row r="199" spans="24:28" x14ac:dyDescent="0.35">
      <c r="X199" s="3" t="s">
        <v>3</v>
      </c>
      <c r="Y199" s="3">
        <v>11</v>
      </c>
      <c r="Z199" s="3">
        <v>120</v>
      </c>
      <c r="AA199" s="3">
        <v>75</v>
      </c>
      <c r="AB199" s="3">
        <v>63</v>
      </c>
    </row>
    <row r="200" spans="24:28" x14ac:dyDescent="0.35">
      <c r="X200" s="3" t="s">
        <v>3</v>
      </c>
      <c r="Y200" s="3">
        <v>12</v>
      </c>
      <c r="Z200" s="3">
        <v>120</v>
      </c>
      <c r="AA200" s="3">
        <v>78</v>
      </c>
      <c r="AB200" s="3">
        <v>60</v>
      </c>
    </row>
    <row r="201" spans="24:28" x14ac:dyDescent="0.35">
      <c r="X201" s="3" t="s">
        <v>4</v>
      </c>
      <c r="Y201" s="3">
        <v>7</v>
      </c>
      <c r="Z201" s="3">
        <v>120</v>
      </c>
      <c r="AA201" s="3">
        <v>99</v>
      </c>
      <c r="AB201" s="3">
        <v>102</v>
      </c>
    </row>
    <row r="202" spans="24:28" x14ac:dyDescent="0.35">
      <c r="X202" s="3" t="s">
        <v>4</v>
      </c>
      <c r="Y202" s="3">
        <v>8</v>
      </c>
      <c r="Z202" s="3">
        <v>120</v>
      </c>
      <c r="AA202" s="3">
        <v>102</v>
      </c>
      <c r="AB202" s="3">
        <v>72</v>
      </c>
    </row>
    <row r="203" spans="24:28" x14ac:dyDescent="0.35">
      <c r="X203" s="3" t="s">
        <v>4</v>
      </c>
      <c r="Y203" s="3">
        <v>9</v>
      </c>
      <c r="Z203" s="3">
        <v>120</v>
      </c>
      <c r="AA203" s="3">
        <v>57</v>
      </c>
      <c r="AB203" s="3">
        <v>75</v>
      </c>
    </row>
    <row r="204" spans="24:28" x14ac:dyDescent="0.35">
      <c r="X204" s="3" t="s">
        <v>4</v>
      </c>
      <c r="Y204" s="3">
        <v>10</v>
      </c>
      <c r="Z204" s="3">
        <v>120</v>
      </c>
      <c r="AA204" s="3">
        <v>72</v>
      </c>
      <c r="AB204" s="3">
        <v>90</v>
      </c>
    </row>
    <row r="205" spans="24:28" x14ac:dyDescent="0.35">
      <c r="X205" s="3" t="s">
        <v>4</v>
      </c>
      <c r="Y205" s="3">
        <v>11</v>
      </c>
      <c r="Z205" s="3">
        <v>120</v>
      </c>
      <c r="AA205" s="3">
        <v>84</v>
      </c>
      <c r="AB205" s="3">
        <v>75</v>
      </c>
    </row>
    <row r="206" spans="24:28" x14ac:dyDescent="0.35">
      <c r="X206" s="3" t="s">
        <v>4</v>
      </c>
      <c r="Y206" s="3">
        <v>12</v>
      </c>
      <c r="Z206" s="3">
        <v>120</v>
      </c>
      <c r="AA206" s="3">
        <v>69</v>
      </c>
      <c r="AB206" s="3">
        <v>72</v>
      </c>
    </row>
    <row r="207" spans="24:28" x14ac:dyDescent="0.35">
      <c r="X207" s="3" t="s">
        <v>5</v>
      </c>
      <c r="Y207" s="3">
        <v>1</v>
      </c>
      <c r="Z207" s="3">
        <v>120</v>
      </c>
      <c r="AA207" s="3">
        <v>81</v>
      </c>
      <c r="AB207" s="3">
        <v>66</v>
      </c>
    </row>
    <row r="208" spans="24:28" x14ac:dyDescent="0.35">
      <c r="X208" s="3" t="s">
        <v>5</v>
      </c>
      <c r="Y208" s="3">
        <v>2</v>
      </c>
      <c r="Z208" s="3">
        <v>120</v>
      </c>
      <c r="AA208" s="3">
        <v>72</v>
      </c>
      <c r="AB208" s="3">
        <v>66</v>
      </c>
    </row>
    <row r="209" spans="24:28" x14ac:dyDescent="0.35">
      <c r="X209" s="3" t="s">
        <v>5</v>
      </c>
      <c r="Y209" s="3">
        <v>3</v>
      </c>
      <c r="Z209" s="3">
        <v>120</v>
      </c>
      <c r="AA209" s="3">
        <v>69</v>
      </c>
      <c r="AB209" s="3">
        <v>54</v>
      </c>
    </row>
    <row r="210" spans="24:28" x14ac:dyDescent="0.35">
      <c r="X210" s="3" t="s">
        <v>5</v>
      </c>
      <c r="Y210" s="3">
        <v>4</v>
      </c>
      <c r="Z210" s="3">
        <v>120</v>
      </c>
      <c r="AA210" s="3">
        <v>42</v>
      </c>
      <c r="AB210" s="3">
        <v>66</v>
      </c>
    </row>
    <row r="211" spans="24:28" x14ac:dyDescent="0.35">
      <c r="X211" s="3" t="s">
        <v>5</v>
      </c>
      <c r="Y211" s="3">
        <v>5</v>
      </c>
      <c r="Z211" s="3">
        <v>120</v>
      </c>
      <c r="AA211" s="3">
        <v>60</v>
      </c>
      <c r="AB211" s="3">
        <v>72</v>
      </c>
    </row>
    <row r="212" spans="24:28" x14ac:dyDescent="0.35">
      <c r="X212" s="3" t="s">
        <v>5</v>
      </c>
      <c r="Y212" s="3">
        <v>6</v>
      </c>
      <c r="Z212" s="3">
        <v>120</v>
      </c>
      <c r="AA212" s="3">
        <v>84</v>
      </c>
      <c r="AB212" s="3">
        <v>60</v>
      </c>
    </row>
    <row r="213" spans="24:28" x14ac:dyDescent="0.35">
      <c r="X213" s="3" t="s">
        <v>5</v>
      </c>
      <c r="Y213" s="3">
        <v>7</v>
      </c>
      <c r="Z213" s="3">
        <v>120</v>
      </c>
      <c r="AA213" s="3">
        <v>69</v>
      </c>
      <c r="AB213" s="3">
        <v>66</v>
      </c>
    </row>
    <row r="214" spans="24:28" x14ac:dyDescent="0.35">
      <c r="X214" s="3" t="s">
        <v>5</v>
      </c>
      <c r="Y214" s="3">
        <v>8</v>
      </c>
      <c r="Z214" s="3">
        <v>120</v>
      </c>
      <c r="AA214" s="3">
        <v>73.5</v>
      </c>
      <c r="AB214" s="3">
        <v>69</v>
      </c>
    </row>
    <row r="215" spans="24:28" x14ac:dyDescent="0.35">
      <c r="X215" s="3" t="s">
        <v>5</v>
      </c>
      <c r="Y215" s="3">
        <v>9</v>
      </c>
      <c r="Z215" s="3">
        <v>120</v>
      </c>
      <c r="AA215" s="3">
        <v>69</v>
      </c>
      <c r="AB215" s="3">
        <v>75</v>
      </c>
    </row>
    <row r="216" spans="24:28" x14ac:dyDescent="0.35">
      <c r="X216" s="3" t="s">
        <v>5</v>
      </c>
      <c r="Y216" s="3">
        <v>10</v>
      </c>
      <c r="Z216" s="3">
        <v>120</v>
      </c>
      <c r="AA216" s="3">
        <v>111</v>
      </c>
      <c r="AB216" s="3">
        <v>84</v>
      </c>
    </row>
    <row r="217" spans="24:28" x14ac:dyDescent="0.35">
      <c r="X217" s="3" t="s">
        <v>5</v>
      </c>
      <c r="Y217" s="3">
        <v>11</v>
      </c>
      <c r="Z217" s="3">
        <v>120</v>
      </c>
      <c r="AA217" s="3">
        <v>70.5</v>
      </c>
      <c r="AB217" s="3">
        <v>75</v>
      </c>
    </row>
    <row r="218" spans="24:28" x14ac:dyDescent="0.35">
      <c r="X218" s="3" t="s">
        <v>5</v>
      </c>
      <c r="Y218" s="3">
        <v>12</v>
      </c>
      <c r="Z218" s="3">
        <v>120</v>
      </c>
      <c r="AA218" s="3">
        <v>66</v>
      </c>
      <c r="AB218" s="3">
        <v>57</v>
      </c>
    </row>
    <row r="219" spans="24:28" x14ac:dyDescent="0.35">
      <c r="X219" s="3" t="s">
        <v>3</v>
      </c>
      <c r="Y219" s="3">
        <v>1</v>
      </c>
      <c r="Z219" s="3">
        <v>140</v>
      </c>
      <c r="AA219" s="3">
        <v>57</v>
      </c>
      <c r="AB219" s="3">
        <v>84</v>
      </c>
    </row>
    <row r="220" spans="24:28" x14ac:dyDescent="0.35">
      <c r="X220" s="3" t="s">
        <v>4</v>
      </c>
      <c r="Y220" s="3">
        <v>1</v>
      </c>
      <c r="Z220" s="3">
        <v>140</v>
      </c>
      <c r="AA220" s="3">
        <v>54</v>
      </c>
      <c r="AB220" s="3">
        <v>63</v>
      </c>
    </row>
    <row r="221" spans="24:28" x14ac:dyDescent="0.35">
      <c r="X221" s="3" t="s">
        <v>4</v>
      </c>
      <c r="Y221" s="3">
        <v>2</v>
      </c>
      <c r="Z221" s="3">
        <v>140</v>
      </c>
      <c r="AA221" s="3">
        <v>48</v>
      </c>
      <c r="AB221" s="3">
        <v>78</v>
      </c>
    </row>
    <row r="222" spans="24:28" x14ac:dyDescent="0.35">
      <c r="X222" s="3" t="s">
        <v>3</v>
      </c>
      <c r="Y222" s="3">
        <v>2</v>
      </c>
      <c r="Z222" s="3">
        <v>140</v>
      </c>
      <c r="AA222" s="3">
        <v>87</v>
      </c>
      <c r="AB222" s="3">
        <v>84</v>
      </c>
    </row>
    <row r="223" spans="24:28" x14ac:dyDescent="0.35">
      <c r="X223" s="3" t="s">
        <v>4</v>
      </c>
      <c r="Y223" s="3">
        <v>3</v>
      </c>
      <c r="Z223" s="3">
        <v>140</v>
      </c>
      <c r="AA223" s="3">
        <v>54</v>
      </c>
      <c r="AB223" s="3">
        <v>72</v>
      </c>
    </row>
    <row r="224" spans="24:28" x14ac:dyDescent="0.35">
      <c r="X224" s="3" t="s">
        <v>3</v>
      </c>
      <c r="Y224" s="3">
        <v>3</v>
      </c>
      <c r="Z224" s="3">
        <v>140</v>
      </c>
      <c r="AA224" s="3">
        <v>54</v>
      </c>
      <c r="AB224" s="3">
        <v>69</v>
      </c>
    </row>
    <row r="225" spans="24:28" x14ac:dyDescent="0.35">
      <c r="X225" s="3" t="s">
        <v>4</v>
      </c>
      <c r="Y225" s="3">
        <v>4</v>
      </c>
      <c r="Z225" s="3">
        <v>140</v>
      </c>
      <c r="AA225" s="3">
        <v>72</v>
      </c>
      <c r="AB225" s="3">
        <v>75</v>
      </c>
    </row>
    <row r="226" spans="24:28" x14ac:dyDescent="0.35">
      <c r="X226" s="3" t="s">
        <v>3</v>
      </c>
      <c r="Y226" s="3">
        <v>4</v>
      </c>
      <c r="Z226" s="3">
        <v>140</v>
      </c>
      <c r="AA226" s="3">
        <v>75</v>
      </c>
      <c r="AB226" s="3">
        <v>69</v>
      </c>
    </row>
    <row r="227" spans="24:28" x14ac:dyDescent="0.35">
      <c r="X227" s="3" t="s">
        <v>3</v>
      </c>
      <c r="Y227" s="3">
        <v>5</v>
      </c>
      <c r="Z227" s="3">
        <v>140</v>
      </c>
      <c r="AA227" s="3">
        <v>96</v>
      </c>
      <c r="AB227" s="3">
        <v>78</v>
      </c>
    </row>
    <row r="228" spans="24:28" x14ac:dyDescent="0.35">
      <c r="X228" s="3" t="s">
        <v>4</v>
      </c>
      <c r="Y228" s="3">
        <v>5</v>
      </c>
      <c r="Z228" s="3">
        <v>140</v>
      </c>
      <c r="AA228" s="3">
        <v>81</v>
      </c>
      <c r="AB228" s="3">
        <v>81</v>
      </c>
    </row>
    <row r="229" spans="24:28" x14ac:dyDescent="0.35">
      <c r="X229" s="3" t="s">
        <v>3</v>
      </c>
      <c r="Y229" s="3">
        <v>6</v>
      </c>
      <c r="Z229" s="3">
        <v>140</v>
      </c>
      <c r="AA229" s="3">
        <v>81</v>
      </c>
      <c r="AB229" s="3">
        <v>84</v>
      </c>
    </row>
    <row r="230" spans="24:28" x14ac:dyDescent="0.35">
      <c r="X230" s="3" t="s">
        <v>4</v>
      </c>
      <c r="Y230" s="3">
        <v>6</v>
      </c>
      <c r="Z230" s="3">
        <v>140</v>
      </c>
      <c r="AA230" s="3">
        <v>66</v>
      </c>
      <c r="AB230" s="3">
        <v>69</v>
      </c>
    </row>
    <row r="231" spans="24:28" x14ac:dyDescent="0.35">
      <c r="X231" s="3" t="s">
        <v>3</v>
      </c>
      <c r="Y231" s="3">
        <v>7</v>
      </c>
      <c r="Z231" s="3">
        <v>140</v>
      </c>
      <c r="AA231" s="3">
        <v>78</v>
      </c>
      <c r="AB231" s="3">
        <v>63</v>
      </c>
    </row>
    <row r="232" spans="24:28" x14ac:dyDescent="0.35">
      <c r="X232" s="3" t="s">
        <v>3</v>
      </c>
      <c r="Y232" s="3">
        <v>8</v>
      </c>
      <c r="Z232" s="3">
        <v>140</v>
      </c>
      <c r="AA232" s="3">
        <v>42</v>
      </c>
      <c r="AB232" s="3">
        <v>75</v>
      </c>
    </row>
    <row r="233" spans="24:28" x14ac:dyDescent="0.35">
      <c r="X233" s="3" t="s">
        <v>3</v>
      </c>
      <c r="Y233" s="3">
        <v>9</v>
      </c>
      <c r="Z233" s="3">
        <v>140</v>
      </c>
      <c r="AA233" s="3">
        <v>84</v>
      </c>
      <c r="AB233" s="3">
        <v>72</v>
      </c>
    </row>
    <row r="234" spans="24:28" x14ac:dyDescent="0.35">
      <c r="X234" s="3" t="s">
        <v>3</v>
      </c>
      <c r="Y234" s="3">
        <v>10</v>
      </c>
      <c r="Z234" s="3">
        <v>140</v>
      </c>
      <c r="AA234" s="3">
        <v>88.5</v>
      </c>
      <c r="AB234" s="3">
        <v>66</v>
      </c>
    </row>
    <row r="235" spans="24:28" x14ac:dyDescent="0.35">
      <c r="X235" s="3" t="s">
        <v>3</v>
      </c>
      <c r="Y235" s="3">
        <v>11</v>
      </c>
      <c r="Z235" s="3">
        <v>140</v>
      </c>
      <c r="AA235" s="3">
        <v>75</v>
      </c>
      <c r="AB235" s="3">
        <v>66</v>
      </c>
    </row>
    <row r="236" spans="24:28" x14ac:dyDescent="0.35">
      <c r="X236" s="3" t="s">
        <v>3</v>
      </c>
      <c r="Y236" s="3">
        <v>12</v>
      </c>
      <c r="Z236" s="3">
        <v>140</v>
      </c>
      <c r="AA236" s="3">
        <v>78</v>
      </c>
      <c r="AB236" s="3">
        <v>66</v>
      </c>
    </row>
    <row r="237" spans="24:28" x14ac:dyDescent="0.35">
      <c r="X237" s="3" t="s">
        <v>4</v>
      </c>
      <c r="Y237" s="3">
        <v>7</v>
      </c>
      <c r="Z237" s="3">
        <v>140</v>
      </c>
      <c r="AA237" s="3">
        <v>94.5</v>
      </c>
      <c r="AB237" s="3">
        <v>93</v>
      </c>
    </row>
    <row r="238" spans="24:28" x14ac:dyDescent="0.35">
      <c r="X238" s="3" t="s">
        <v>4</v>
      </c>
      <c r="Y238" s="3">
        <v>8</v>
      </c>
      <c r="Z238" s="3">
        <v>140</v>
      </c>
      <c r="AA238" s="3">
        <v>93</v>
      </c>
      <c r="AB238" s="3">
        <v>84</v>
      </c>
    </row>
    <row r="239" spans="24:28" x14ac:dyDescent="0.35">
      <c r="X239" s="3" t="s">
        <v>4</v>
      </c>
      <c r="Y239" s="3">
        <v>9</v>
      </c>
      <c r="Z239" s="3">
        <v>140</v>
      </c>
      <c r="AA239" s="3">
        <v>75</v>
      </c>
      <c r="AB239" s="3">
        <v>78</v>
      </c>
    </row>
    <row r="240" spans="24:28" x14ac:dyDescent="0.35">
      <c r="X240" s="3" t="s">
        <v>4</v>
      </c>
      <c r="Y240" s="3">
        <v>10</v>
      </c>
      <c r="Z240" s="3">
        <v>140</v>
      </c>
      <c r="AA240" s="3">
        <v>63</v>
      </c>
      <c r="AB240" s="3">
        <v>78</v>
      </c>
    </row>
    <row r="241" spans="24:28" x14ac:dyDescent="0.35">
      <c r="X241" s="3" t="s">
        <v>4</v>
      </c>
      <c r="Y241" s="3">
        <v>11</v>
      </c>
      <c r="Z241" s="3">
        <v>140</v>
      </c>
      <c r="AA241" s="3">
        <v>88.5</v>
      </c>
      <c r="AB241" s="3">
        <v>75</v>
      </c>
    </row>
    <row r="242" spans="24:28" x14ac:dyDescent="0.35">
      <c r="X242" s="3" t="s">
        <v>4</v>
      </c>
      <c r="Y242" s="3">
        <v>12</v>
      </c>
      <c r="Z242" s="3">
        <v>140</v>
      </c>
      <c r="AA242" s="3">
        <v>69</v>
      </c>
      <c r="AB242" s="3">
        <v>72</v>
      </c>
    </row>
    <row r="243" spans="24:28" x14ac:dyDescent="0.35">
      <c r="X243" s="3" t="s">
        <v>5</v>
      </c>
      <c r="Y243" s="3">
        <v>1</v>
      </c>
      <c r="Z243" s="3">
        <v>140</v>
      </c>
      <c r="AA243" s="3">
        <v>66</v>
      </c>
      <c r="AB243" s="3">
        <v>64.5</v>
      </c>
    </row>
    <row r="244" spans="24:28" x14ac:dyDescent="0.35">
      <c r="X244" s="3" t="s">
        <v>5</v>
      </c>
      <c r="Y244" s="3">
        <v>2</v>
      </c>
      <c r="Z244" s="3">
        <v>140</v>
      </c>
      <c r="AA244" s="3">
        <v>72</v>
      </c>
      <c r="AB244" s="3">
        <v>72</v>
      </c>
    </row>
    <row r="245" spans="24:28" x14ac:dyDescent="0.35">
      <c r="X245" s="3" t="s">
        <v>5</v>
      </c>
      <c r="Y245" s="3">
        <v>3</v>
      </c>
      <c r="Z245" s="3">
        <v>140</v>
      </c>
      <c r="AA245" s="3">
        <v>63</v>
      </c>
      <c r="AB245" s="3">
        <v>57</v>
      </c>
    </row>
    <row r="246" spans="24:28" x14ac:dyDescent="0.35">
      <c r="X246" s="3" t="s">
        <v>5</v>
      </c>
      <c r="Y246" s="3">
        <v>4</v>
      </c>
      <c r="Z246" s="3">
        <v>140</v>
      </c>
      <c r="AA246" s="3">
        <v>51</v>
      </c>
      <c r="AB246" s="3">
        <v>60</v>
      </c>
    </row>
    <row r="247" spans="24:28" x14ac:dyDescent="0.35">
      <c r="X247" s="3" t="s">
        <v>5</v>
      </c>
      <c r="Y247" s="3">
        <v>5</v>
      </c>
      <c r="Z247" s="3">
        <v>140</v>
      </c>
      <c r="AA247" s="3">
        <v>67.5</v>
      </c>
      <c r="AB247" s="3">
        <v>75</v>
      </c>
    </row>
    <row r="248" spans="24:28" x14ac:dyDescent="0.35">
      <c r="X248" s="3" t="s">
        <v>5</v>
      </c>
      <c r="Y248" s="3">
        <v>6</v>
      </c>
      <c r="Z248" s="3">
        <v>140</v>
      </c>
      <c r="AA248" s="3">
        <v>82.5</v>
      </c>
      <c r="AB248" s="3">
        <v>63</v>
      </c>
    </row>
    <row r="249" spans="24:28" x14ac:dyDescent="0.35">
      <c r="X249" s="3" t="s">
        <v>5</v>
      </c>
      <c r="Y249" s="3">
        <v>7</v>
      </c>
      <c r="Z249" s="3">
        <v>140</v>
      </c>
      <c r="AA249" s="3">
        <v>70.5</v>
      </c>
      <c r="AB249" s="3">
        <v>72</v>
      </c>
    </row>
    <row r="250" spans="24:28" x14ac:dyDescent="0.35">
      <c r="X250" s="3" t="s">
        <v>5</v>
      </c>
      <c r="Y250" s="3">
        <v>8</v>
      </c>
      <c r="Z250" s="3">
        <v>140</v>
      </c>
      <c r="AA250" s="3">
        <v>71.25</v>
      </c>
      <c r="AB250" s="3">
        <v>75</v>
      </c>
    </row>
    <row r="251" spans="24:28" x14ac:dyDescent="0.35">
      <c r="X251" s="3" t="s">
        <v>5</v>
      </c>
      <c r="Y251" s="3">
        <v>9</v>
      </c>
      <c r="Z251" s="3">
        <v>140</v>
      </c>
      <c r="AA251" s="3">
        <v>76.5</v>
      </c>
      <c r="AB251" s="3">
        <v>84</v>
      </c>
    </row>
    <row r="252" spans="24:28" x14ac:dyDescent="0.35">
      <c r="X252" s="3" t="s">
        <v>5</v>
      </c>
      <c r="Y252" s="3">
        <v>10</v>
      </c>
      <c r="Z252" s="3">
        <v>140</v>
      </c>
      <c r="AA252" s="3">
        <v>93</v>
      </c>
      <c r="AB252" s="3">
        <v>90</v>
      </c>
    </row>
    <row r="253" spans="24:28" x14ac:dyDescent="0.35">
      <c r="X253" s="3" t="s">
        <v>5</v>
      </c>
      <c r="Y253" s="3">
        <v>11</v>
      </c>
      <c r="Z253" s="3">
        <v>140</v>
      </c>
      <c r="AA253" s="3">
        <v>72.75</v>
      </c>
      <c r="AB253" s="3">
        <v>87</v>
      </c>
    </row>
    <row r="254" spans="24:28" x14ac:dyDescent="0.35">
      <c r="X254" s="3" t="s">
        <v>5</v>
      </c>
      <c r="Y254" s="3">
        <v>12</v>
      </c>
      <c r="Z254" s="3">
        <v>140</v>
      </c>
      <c r="AA254" s="3">
        <v>78</v>
      </c>
      <c r="AB254" s="3">
        <v>69</v>
      </c>
    </row>
    <row r="255" spans="24:28" x14ac:dyDescent="0.35">
      <c r="X255" s="3" t="s">
        <v>3</v>
      </c>
      <c r="Y255" s="3">
        <v>1</v>
      </c>
      <c r="Z255" s="3">
        <v>160</v>
      </c>
      <c r="AA255" s="3">
        <v>48</v>
      </c>
      <c r="AB255" s="3">
        <v>78</v>
      </c>
    </row>
    <row r="256" spans="24:28" x14ac:dyDescent="0.35">
      <c r="X256" s="3" t="s">
        <v>4</v>
      </c>
      <c r="Y256" s="3">
        <v>1</v>
      </c>
      <c r="Z256" s="3">
        <v>160</v>
      </c>
      <c r="AA256" s="3">
        <v>51</v>
      </c>
      <c r="AB256" s="3">
        <v>72</v>
      </c>
    </row>
    <row r="257" spans="24:28" x14ac:dyDescent="0.35">
      <c r="X257" s="3" t="s">
        <v>4</v>
      </c>
      <c r="Y257" s="3">
        <v>2</v>
      </c>
      <c r="Z257" s="3">
        <v>160</v>
      </c>
      <c r="AA257" s="3">
        <v>48</v>
      </c>
      <c r="AB257" s="3">
        <v>78</v>
      </c>
    </row>
    <row r="258" spans="24:28" x14ac:dyDescent="0.35">
      <c r="X258" s="3" t="s">
        <v>3</v>
      </c>
      <c r="Y258" s="3">
        <v>2</v>
      </c>
      <c r="Z258" s="3">
        <v>160</v>
      </c>
      <c r="AA258" s="3">
        <v>93</v>
      </c>
      <c r="AB258" s="3">
        <v>72</v>
      </c>
    </row>
    <row r="259" spans="24:28" x14ac:dyDescent="0.35">
      <c r="X259" s="3" t="s">
        <v>4</v>
      </c>
      <c r="Y259" s="3">
        <v>3</v>
      </c>
      <c r="Z259" s="3">
        <v>160</v>
      </c>
      <c r="AA259" s="3">
        <v>54</v>
      </c>
      <c r="AB259" s="3">
        <v>69</v>
      </c>
    </row>
    <row r="260" spans="24:28" x14ac:dyDescent="0.35">
      <c r="X260" s="3" t="s">
        <v>3</v>
      </c>
      <c r="Y260" s="3">
        <v>3</v>
      </c>
      <c r="Z260" s="3">
        <v>160</v>
      </c>
      <c r="AA260" s="3">
        <v>54</v>
      </c>
      <c r="AB260" s="3">
        <v>69</v>
      </c>
    </row>
    <row r="261" spans="24:28" x14ac:dyDescent="0.35">
      <c r="X261" s="3" t="s">
        <v>4</v>
      </c>
      <c r="Y261" s="3">
        <v>4</v>
      </c>
      <c r="Z261" s="3">
        <v>160</v>
      </c>
      <c r="AA261" s="3">
        <v>72</v>
      </c>
      <c r="AB261" s="3">
        <v>78</v>
      </c>
    </row>
    <row r="262" spans="24:28" x14ac:dyDescent="0.35">
      <c r="X262" s="3" t="s">
        <v>3</v>
      </c>
      <c r="Y262" s="3">
        <v>4</v>
      </c>
      <c r="Z262" s="3">
        <v>160</v>
      </c>
      <c r="AA262" s="3">
        <v>72</v>
      </c>
      <c r="AB262" s="3">
        <v>72</v>
      </c>
    </row>
    <row r="263" spans="24:28" x14ac:dyDescent="0.35">
      <c r="X263" s="3" t="s">
        <v>3</v>
      </c>
      <c r="Y263" s="3">
        <v>5</v>
      </c>
      <c r="Z263" s="3">
        <v>160</v>
      </c>
      <c r="AA263" s="3">
        <v>96</v>
      </c>
      <c r="AB263" s="3">
        <v>66</v>
      </c>
    </row>
    <row r="264" spans="24:28" x14ac:dyDescent="0.35">
      <c r="X264" s="3" t="s">
        <v>4</v>
      </c>
      <c r="Y264" s="3">
        <v>5</v>
      </c>
      <c r="Z264" s="3">
        <v>160</v>
      </c>
      <c r="AA264" s="3">
        <v>66</v>
      </c>
      <c r="AB264" s="3">
        <v>72</v>
      </c>
    </row>
    <row r="265" spans="24:28" x14ac:dyDescent="0.35">
      <c r="X265" s="3" t="s">
        <v>3</v>
      </c>
      <c r="Y265" s="3">
        <v>6</v>
      </c>
      <c r="Z265" s="3">
        <v>160</v>
      </c>
      <c r="AA265" s="3">
        <v>54</v>
      </c>
      <c r="AB265" s="3">
        <v>84</v>
      </c>
    </row>
    <row r="266" spans="24:28" x14ac:dyDescent="0.35">
      <c r="X266" s="3" t="s">
        <v>4</v>
      </c>
      <c r="Y266" s="3">
        <v>6</v>
      </c>
      <c r="Z266" s="3">
        <v>160</v>
      </c>
      <c r="AA266" s="3">
        <v>66</v>
      </c>
      <c r="AB266" s="3">
        <v>69</v>
      </c>
    </row>
    <row r="267" spans="24:28" x14ac:dyDescent="0.35">
      <c r="X267" s="3" t="s">
        <v>3</v>
      </c>
      <c r="Y267" s="3">
        <v>7</v>
      </c>
      <c r="Z267" s="3">
        <v>160</v>
      </c>
      <c r="AA267" s="3">
        <v>69</v>
      </c>
      <c r="AB267" s="3">
        <v>66</v>
      </c>
    </row>
    <row r="268" spans="24:28" x14ac:dyDescent="0.35">
      <c r="X268" s="3" t="s">
        <v>3</v>
      </c>
      <c r="Y268" s="3">
        <v>8</v>
      </c>
      <c r="Z268" s="3">
        <v>160</v>
      </c>
      <c r="AA268" s="3">
        <v>48</v>
      </c>
      <c r="AB268" s="3">
        <v>75</v>
      </c>
    </row>
    <row r="269" spans="24:28" x14ac:dyDescent="0.35">
      <c r="X269" s="3" t="s">
        <v>3</v>
      </c>
      <c r="Y269" s="3">
        <v>9</v>
      </c>
      <c r="Z269" s="3">
        <v>160</v>
      </c>
      <c r="AA269" s="3">
        <v>82.5</v>
      </c>
      <c r="AB269" s="3">
        <v>66</v>
      </c>
    </row>
    <row r="270" spans="24:28" x14ac:dyDescent="0.35">
      <c r="X270" s="3" t="s">
        <v>3</v>
      </c>
      <c r="Y270" s="3">
        <v>10</v>
      </c>
      <c r="Z270" s="3">
        <v>160</v>
      </c>
      <c r="AA270" s="3">
        <v>83.25</v>
      </c>
      <c r="AB270" s="3">
        <v>78</v>
      </c>
    </row>
    <row r="271" spans="24:28" x14ac:dyDescent="0.35">
      <c r="X271" s="3" t="s">
        <v>3</v>
      </c>
      <c r="Y271" s="3">
        <v>11</v>
      </c>
      <c r="Z271" s="3">
        <v>160</v>
      </c>
      <c r="AA271" s="3">
        <v>75</v>
      </c>
      <c r="AB271" s="3">
        <v>60</v>
      </c>
    </row>
    <row r="272" spans="24:28" x14ac:dyDescent="0.35">
      <c r="X272" s="3" t="s">
        <v>3</v>
      </c>
      <c r="Y272" s="3">
        <v>12</v>
      </c>
      <c r="Z272" s="3">
        <v>160</v>
      </c>
      <c r="AA272" s="3">
        <v>78</v>
      </c>
      <c r="AB272" s="3">
        <v>66</v>
      </c>
    </row>
    <row r="273" spans="24:28" x14ac:dyDescent="0.35">
      <c r="X273" s="3" t="s">
        <v>4</v>
      </c>
      <c r="Y273" s="3">
        <v>7</v>
      </c>
      <c r="Z273" s="3">
        <v>160</v>
      </c>
      <c r="AA273" s="3">
        <v>96.75</v>
      </c>
      <c r="AB273" s="3">
        <v>96</v>
      </c>
    </row>
    <row r="274" spans="24:28" x14ac:dyDescent="0.35">
      <c r="X274" s="3" t="s">
        <v>4</v>
      </c>
      <c r="Y274" s="3">
        <v>8</v>
      </c>
      <c r="Z274" s="3">
        <v>160</v>
      </c>
      <c r="AA274" s="3">
        <v>93</v>
      </c>
      <c r="AB274" s="3">
        <v>87</v>
      </c>
    </row>
    <row r="275" spans="24:28" x14ac:dyDescent="0.35">
      <c r="X275" s="3" t="s">
        <v>4</v>
      </c>
      <c r="Y275" s="3">
        <v>9</v>
      </c>
      <c r="Z275" s="3">
        <v>160</v>
      </c>
      <c r="AA275" s="3">
        <v>66</v>
      </c>
      <c r="AB275" s="3">
        <v>69</v>
      </c>
    </row>
    <row r="276" spans="24:28" x14ac:dyDescent="0.35">
      <c r="X276" s="3" t="s">
        <v>4</v>
      </c>
      <c r="Y276" s="3">
        <v>10</v>
      </c>
      <c r="Z276" s="3">
        <v>160</v>
      </c>
      <c r="AA276" s="3">
        <v>96</v>
      </c>
      <c r="AB276" s="3">
        <v>90</v>
      </c>
    </row>
    <row r="277" spans="24:28" x14ac:dyDescent="0.35">
      <c r="X277" s="3" t="s">
        <v>4</v>
      </c>
      <c r="Y277" s="3">
        <v>11</v>
      </c>
      <c r="Z277" s="3">
        <v>160</v>
      </c>
      <c r="AA277" s="3">
        <v>86.25</v>
      </c>
      <c r="AB277" s="3">
        <v>54</v>
      </c>
    </row>
    <row r="278" spans="24:28" x14ac:dyDescent="0.35">
      <c r="X278" s="3" t="s">
        <v>4</v>
      </c>
      <c r="Y278" s="3">
        <v>12</v>
      </c>
      <c r="Z278" s="3">
        <v>160</v>
      </c>
      <c r="AA278" s="3">
        <v>69</v>
      </c>
      <c r="AB278" s="3">
        <v>72</v>
      </c>
    </row>
    <row r="279" spans="24:28" x14ac:dyDescent="0.35">
      <c r="X279" s="3" t="s">
        <v>5</v>
      </c>
      <c r="Y279" s="3">
        <v>1</v>
      </c>
      <c r="Z279" s="3">
        <v>160</v>
      </c>
      <c r="AA279" s="3">
        <v>66</v>
      </c>
      <c r="AB279" s="3">
        <v>65.25</v>
      </c>
    </row>
    <row r="280" spans="24:28" x14ac:dyDescent="0.35">
      <c r="X280" s="3" t="s">
        <v>5</v>
      </c>
      <c r="Y280" s="3">
        <v>2</v>
      </c>
      <c r="Z280" s="3">
        <v>160</v>
      </c>
      <c r="AA280" s="3">
        <v>72</v>
      </c>
      <c r="AB280" s="3">
        <v>63</v>
      </c>
    </row>
    <row r="281" spans="24:28" x14ac:dyDescent="0.35">
      <c r="X281" s="3" t="s">
        <v>5</v>
      </c>
      <c r="Y281" s="3">
        <v>3</v>
      </c>
      <c r="Z281" s="3">
        <v>160</v>
      </c>
      <c r="AA281" s="3">
        <v>63</v>
      </c>
      <c r="AB281" s="3">
        <v>57</v>
      </c>
    </row>
    <row r="282" spans="24:28" x14ac:dyDescent="0.35">
      <c r="X282" s="3" t="s">
        <v>5</v>
      </c>
      <c r="Y282" s="3">
        <v>4</v>
      </c>
      <c r="Z282" s="3">
        <v>160</v>
      </c>
      <c r="AA282" s="3">
        <v>51</v>
      </c>
      <c r="AB282" s="3">
        <v>54</v>
      </c>
    </row>
    <row r="283" spans="24:28" x14ac:dyDescent="0.35">
      <c r="X283" s="3" t="s">
        <v>5</v>
      </c>
      <c r="Y283" s="3">
        <v>5</v>
      </c>
      <c r="Z283" s="3">
        <v>160</v>
      </c>
      <c r="AA283" s="3">
        <v>63.75</v>
      </c>
      <c r="AB283" s="3">
        <v>72</v>
      </c>
    </row>
    <row r="284" spans="24:28" x14ac:dyDescent="0.35">
      <c r="X284" s="3" t="s">
        <v>5</v>
      </c>
      <c r="Y284" s="3">
        <v>6</v>
      </c>
      <c r="Z284" s="3">
        <v>160</v>
      </c>
      <c r="AA284" s="3">
        <v>83.25</v>
      </c>
      <c r="AB284" s="3">
        <v>60</v>
      </c>
    </row>
    <row r="285" spans="24:28" x14ac:dyDescent="0.35">
      <c r="X285" s="3" t="s">
        <v>5</v>
      </c>
      <c r="Y285" s="3">
        <v>7</v>
      </c>
      <c r="Z285" s="3">
        <v>160</v>
      </c>
      <c r="AA285" s="3">
        <v>69.75</v>
      </c>
      <c r="AB285" s="3">
        <v>78</v>
      </c>
    </row>
    <row r="286" spans="24:28" x14ac:dyDescent="0.35">
      <c r="X286" s="3" t="s">
        <v>5</v>
      </c>
      <c r="Y286" s="3">
        <v>8</v>
      </c>
      <c r="Z286" s="3">
        <v>160</v>
      </c>
      <c r="AA286" s="3">
        <v>72.375</v>
      </c>
      <c r="AB286" s="3">
        <v>81</v>
      </c>
    </row>
    <row r="287" spans="24:28" x14ac:dyDescent="0.35">
      <c r="X287" s="3" t="s">
        <v>5</v>
      </c>
      <c r="Y287" s="3">
        <v>9</v>
      </c>
      <c r="Z287" s="3">
        <v>160</v>
      </c>
      <c r="AA287" s="3">
        <v>72.75</v>
      </c>
      <c r="AB287" s="3">
        <v>84</v>
      </c>
    </row>
    <row r="288" spans="24:28" x14ac:dyDescent="0.35">
      <c r="X288" s="3" t="s">
        <v>5</v>
      </c>
      <c r="Y288" s="3">
        <v>10</v>
      </c>
      <c r="Z288" s="3">
        <v>160</v>
      </c>
      <c r="AA288" s="3">
        <v>93</v>
      </c>
      <c r="AB288" s="3">
        <v>72</v>
      </c>
    </row>
    <row r="289" spans="24:28" x14ac:dyDescent="0.35">
      <c r="X289" s="3" t="s">
        <v>5</v>
      </c>
      <c r="Y289" s="3">
        <v>11</v>
      </c>
      <c r="Z289" s="3">
        <v>160</v>
      </c>
      <c r="AA289" s="3">
        <v>71.625</v>
      </c>
      <c r="AB289" s="3">
        <v>84</v>
      </c>
    </row>
    <row r="290" spans="24:28" x14ac:dyDescent="0.35">
      <c r="X290" s="3" t="s">
        <v>5</v>
      </c>
      <c r="Y290" s="3">
        <v>12</v>
      </c>
      <c r="Z290" s="3">
        <v>160</v>
      </c>
      <c r="AA290" s="3">
        <v>72</v>
      </c>
      <c r="AB290" s="3">
        <v>63</v>
      </c>
    </row>
    <row r="291" spans="24:28" x14ac:dyDescent="0.35">
      <c r="X291" s="3" t="s">
        <v>3</v>
      </c>
      <c r="Y291" s="3">
        <v>1</v>
      </c>
      <c r="Z291" s="3">
        <v>180</v>
      </c>
      <c r="AA291" s="3">
        <v>52.5</v>
      </c>
      <c r="AB291" s="3">
        <v>78</v>
      </c>
    </row>
    <row r="292" spans="24:28" x14ac:dyDescent="0.35">
      <c r="X292" s="3" t="s">
        <v>4</v>
      </c>
      <c r="Y292" s="3">
        <v>1</v>
      </c>
      <c r="Z292" s="3">
        <v>180</v>
      </c>
      <c r="AA292" s="3">
        <v>63</v>
      </c>
      <c r="AB292" s="3">
        <v>66</v>
      </c>
    </row>
    <row r="293" spans="24:28" x14ac:dyDescent="0.35">
      <c r="X293" s="3" t="s">
        <v>4</v>
      </c>
      <c r="Y293" s="3">
        <v>2</v>
      </c>
      <c r="Z293" s="3">
        <v>180</v>
      </c>
      <c r="AA293" s="3">
        <v>51</v>
      </c>
      <c r="AB293" s="3">
        <v>78</v>
      </c>
    </row>
    <row r="294" spans="24:28" x14ac:dyDescent="0.35">
      <c r="X294" s="3" t="s">
        <v>3</v>
      </c>
      <c r="Y294" s="3">
        <v>2</v>
      </c>
      <c r="Z294" s="3">
        <v>180</v>
      </c>
      <c r="AA294" s="3">
        <v>87</v>
      </c>
      <c r="AB294" s="3">
        <v>72</v>
      </c>
    </row>
    <row r="295" spans="24:28" x14ac:dyDescent="0.35">
      <c r="X295" s="3" t="s">
        <v>4</v>
      </c>
      <c r="Y295" s="3">
        <v>3</v>
      </c>
      <c r="Z295" s="3">
        <v>180</v>
      </c>
      <c r="AA295" s="3">
        <v>54</v>
      </c>
      <c r="AB295" s="3">
        <v>81</v>
      </c>
    </row>
    <row r="296" spans="24:28" x14ac:dyDescent="0.35">
      <c r="X296" s="3" t="s">
        <v>3</v>
      </c>
      <c r="Y296" s="3">
        <v>3</v>
      </c>
      <c r="Z296" s="3">
        <v>180</v>
      </c>
      <c r="AA296" s="3">
        <v>54</v>
      </c>
      <c r="AB296" s="3">
        <v>78</v>
      </c>
    </row>
    <row r="297" spans="24:28" x14ac:dyDescent="0.35">
      <c r="X297" s="3" t="s">
        <v>4</v>
      </c>
      <c r="Y297" s="3">
        <v>4</v>
      </c>
      <c r="Z297" s="3">
        <v>180</v>
      </c>
      <c r="AA297" s="3">
        <v>72</v>
      </c>
      <c r="AB297" s="3">
        <v>75</v>
      </c>
    </row>
    <row r="298" spans="24:28" x14ac:dyDescent="0.35">
      <c r="X298" s="3" t="s">
        <v>3</v>
      </c>
      <c r="Y298" s="3">
        <v>4</v>
      </c>
      <c r="Z298" s="3">
        <v>180</v>
      </c>
      <c r="AA298" s="3">
        <v>66</v>
      </c>
      <c r="AB298" s="3">
        <v>69</v>
      </c>
    </row>
    <row r="299" spans="24:28" x14ac:dyDescent="0.35">
      <c r="X299" s="3" t="s">
        <v>3</v>
      </c>
      <c r="Y299" s="3">
        <v>5</v>
      </c>
      <c r="Z299" s="3">
        <v>180</v>
      </c>
      <c r="AA299" s="3">
        <v>96</v>
      </c>
      <c r="AB299" s="3">
        <v>87</v>
      </c>
    </row>
    <row r="300" spans="24:28" x14ac:dyDescent="0.35">
      <c r="X300" s="3" t="s">
        <v>4</v>
      </c>
      <c r="Y300" s="3">
        <v>5</v>
      </c>
      <c r="Z300" s="3">
        <v>180</v>
      </c>
      <c r="AA300" s="3">
        <v>72</v>
      </c>
      <c r="AB300" s="3">
        <v>75</v>
      </c>
    </row>
    <row r="301" spans="24:28" x14ac:dyDescent="0.35">
      <c r="X301" s="3" t="s">
        <v>3</v>
      </c>
      <c r="Y301" s="3">
        <v>6</v>
      </c>
      <c r="Z301" s="3">
        <v>180</v>
      </c>
      <c r="AA301" s="3">
        <v>67.5</v>
      </c>
      <c r="AB301" s="3">
        <v>90</v>
      </c>
    </row>
    <row r="302" spans="24:28" x14ac:dyDescent="0.35">
      <c r="X302" s="3" t="s">
        <v>4</v>
      </c>
      <c r="Y302" s="3">
        <v>6</v>
      </c>
      <c r="Z302" s="3">
        <v>180</v>
      </c>
      <c r="AA302" s="3">
        <v>66</v>
      </c>
      <c r="AB302" s="3">
        <v>66</v>
      </c>
    </row>
    <row r="303" spans="24:28" x14ac:dyDescent="0.35">
      <c r="X303" s="3" t="s">
        <v>3</v>
      </c>
      <c r="Y303" s="3">
        <v>7</v>
      </c>
      <c r="Z303" s="3">
        <v>180</v>
      </c>
      <c r="AA303" s="3">
        <v>73.5</v>
      </c>
      <c r="AB303" s="3">
        <v>69</v>
      </c>
    </row>
    <row r="304" spans="24:28" x14ac:dyDescent="0.35">
      <c r="X304" s="3" t="s">
        <v>3</v>
      </c>
      <c r="Y304" s="3">
        <v>8</v>
      </c>
      <c r="Z304" s="3">
        <v>180</v>
      </c>
      <c r="AA304" s="3">
        <v>63</v>
      </c>
      <c r="AB304" s="3">
        <v>72</v>
      </c>
    </row>
    <row r="305" spans="24:28" x14ac:dyDescent="0.35">
      <c r="X305" s="3" t="s">
        <v>3</v>
      </c>
      <c r="Y305" s="3">
        <v>9</v>
      </c>
      <c r="Z305" s="3">
        <v>180</v>
      </c>
      <c r="AA305" s="3">
        <v>83.25</v>
      </c>
      <c r="AB305" s="3">
        <v>66</v>
      </c>
    </row>
    <row r="306" spans="24:28" x14ac:dyDescent="0.35">
      <c r="X306" s="3" t="s">
        <v>3</v>
      </c>
      <c r="Y306" s="3">
        <v>10</v>
      </c>
      <c r="Z306" s="3">
        <v>180</v>
      </c>
      <c r="AA306" s="3">
        <v>85.875</v>
      </c>
      <c r="AB306" s="3">
        <v>63</v>
      </c>
    </row>
    <row r="307" spans="24:28" x14ac:dyDescent="0.35">
      <c r="X307" s="3" t="s">
        <v>3</v>
      </c>
      <c r="Y307" s="3">
        <v>11</v>
      </c>
      <c r="Z307" s="3">
        <v>180</v>
      </c>
      <c r="AA307" s="3">
        <v>75</v>
      </c>
      <c r="AB307" s="3">
        <v>63</v>
      </c>
    </row>
    <row r="308" spans="24:28" x14ac:dyDescent="0.35">
      <c r="X308" s="3" t="s">
        <v>3</v>
      </c>
      <c r="Y308" s="3">
        <v>12</v>
      </c>
      <c r="Z308" s="3">
        <v>180</v>
      </c>
      <c r="AA308" s="3">
        <v>78</v>
      </c>
      <c r="AB308" s="3">
        <v>66</v>
      </c>
    </row>
    <row r="309" spans="24:28" x14ac:dyDescent="0.35">
      <c r="X309" s="3" t="s">
        <v>4</v>
      </c>
      <c r="Y309" s="3">
        <v>7</v>
      </c>
      <c r="Z309" s="3">
        <v>180</v>
      </c>
      <c r="AA309" s="3">
        <v>95.625</v>
      </c>
      <c r="AB309" s="3">
        <v>78</v>
      </c>
    </row>
    <row r="310" spans="24:28" x14ac:dyDescent="0.35">
      <c r="X310" s="3" t="s">
        <v>4</v>
      </c>
      <c r="Y310" s="3">
        <v>8</v>
      </c>
      <c r="Z310" s="3">
        <v>180</v>
      </c>
      <c r="AA310" s="3">
        <v>93</v>
      </c>
      <c r="AB310" s="3">
        <v>87</v>
      </c>
    </row>
    <row r="311" spans="24:28" x14ac:dyDescent="0.35">
      <c r="X311" s="3" t="s">
        <v>4</v>
      </c>
      <c r="Y311" s="3">
        <v>9</v>
      </c>
      <c r="Z311" s="3">
        <v>180</v>
      </c>
      <c r="AA311" s="3">
        <v>70.5</v>
      </c>
      <c r="AB311" s="3">
        <v>66</v>
      </c>
    </row>
    <row r="312" spans="24:28" x14ac:dyDescent="0.35">
      <c r="X312" s="3" t="s">
        <v>4</v>
      </c>
      <c r="Y312" s="3">
        <v>10</v>
      </c>
      <c r="Z312" s="3">
        <v>180</v>
      </c>
      <c r="AA312" s="3">
        <v>81</v>
      </c>
      <c r="AB312" s="3">
        <v>69</v>
      </c>
    </row>
    <row r="313" spans="24:28" x14ac:dyDescent="0.35">
      <c r="X313" s="3" t="s">
        <v>4</v>
      </c>
      <c r="Y313" s="3">
        <v>11</v>
      </c>
      <c r="Z313" s="3">
        <v>180</v>
      </c>
      <c r="AA313" s="3">
        <v>87.375</v>
      </c>
      <c r="AB313" s="3">
        <v>87</v>
      </c>
    </row>
    <row r="314" spans="24:28" x14ac:dyDescent="0.35">
      <c r="X314" s="3" t="s">
        <v>4</v>
      </c>
      <c r="Y314" s="3">
        <v>12</v>
      </c>
      <c r="Z314" s="3">
        <v>180</v>
      </c>
      <c r="AA314" s="3">
        <v>69</v>
      </c>
      <c r="AB314" s="3">
        <v>72</v>
      </c>
    </row>
    <row r="315" spans="24:28" x14ac:dyDescent="0.35">
      <c r="X315" s="3" t="s">
        <v>5</v>
      </c>
      <c r="Y315" s="3">
        <v>1</v>
      </c>
      <c r="Z315" s="3">
        <v>180</v>
      </c>
      <c r="AA315" s="3">
        <v>66</v>
      </c>
      <c r="AB315" s="3">
        <v>64.875</v>
      </c>
    </row>
    <row r="316" spans="24:28" x14ac:dyDescent="0.35">
      <c r="X316" s="3" t="s">
        <v>5</v>
      </c>
      <c r="Y316" s="3">
        <v>2</v>
      </c>
      <c r="Z316" s="3">
        <v>180</v>
      </c>
      <c r="AA316" s="3">
        <v>72</v>
      </c>
      <c r="AB316" s="3">
        <v>63</v>
      </c>
    </row>
    <row r="317" spans="24:28" x14ac:dyDescent="0.35">
      <c r="X317" s="3" t="s">
        <v>5</v>
      </c>
      <c r="Y317" s="3">
        <v>3</v>
      </c>
      <c r="Z317" s="3">
        <v>180</v>
      </c>
      <c r="AA317" s="3">
        <v>63</v>
      </c>
      <c r="AB317" s="3">
        <v>60</v>
      </c>
    </row>
    <row r="318" spans="24:28" x14ac:dyDescent="0.35">
      <c r="X318" s="3" t="s">
        <v>5</v>
      </c>
      <c r="Y318" s="3">
        <v>4</v>
      </c>
      <c r="Z318" s="3">
        <v>180</v>
      </c>
      <c r="AA318" s="3">
        <v>51</v>
      </c>
      <c r="AB318" s="3">
        <v>66</v>
      </c>
    </row>
    <row r="319" spans="24:28" x14ac:dyDescent="0.35">
      <c r="X319" s="3" t="s">
        <v>5</v>
      </c>
      <c r="Y319" s="3">
        <v>5</v>
      </c>
      <c r="Z319" s="3">
        <v>180</v>
      </c>
      <c r="AA319" s="3">
        <v>65.625</v>
      </c>
      <c r="AB319" s="3">
        <v>75</v>
      </c>
    </row>
    <row r="320" spans="24:28" x14ac:dyDescent="0.35">
      <c r="X320" s="3" t="s">
        <v>5</v>
      </c>
      <c r="Y320" s="3">
        <v>6</v>
      </c>
      <c r="Z320" s="3">
        <v>180</v>
      </c>
      <c r="AA320" s="3">
        <v>82.875</v>
      </c>
      <c r="AB320" s="3">
        <v>60</v>
      </c>
    </row>
    <row r="321" spans="24:28" x14ac:dyDescent="0.35">
      <c r="X321" s="3" t="s">
        <v>5</v>
      </c>
      <c r="Y321" s="3">
        <v>7</v>
      </c>
      <c r="Z321" s="3">
        <v>180</v>
      </c>
      <c r="AA321" s="3">
        <v>70.125</v>
      </c>
      <c r="AB321" s="3">
        <v>78</v>
      </c>
    </row>
    <row r="322" spans="24:28" x14ac:dyDescent="0.35">
      <c r="X322" s="3" t="s">
        <v>5</v>
      </c>
      <c r="Y322" s="3">
        <v>8</v>
      </c>
      <c r="Z322" s="3">
        <v>180</v>
      </c>
      <c r="AA322" s="3">
        <v>71.8125</v>
      </c>
      <c r="AB322" s="3">
        <v>72</v>
      </c>
    </row>
    <row r="323" spans="24:28" x14ac:dyDescent="0.35">
      <c r="X323" s="3" t="s">
        <v>5</v>
      </c>
      <c r="Y323" s="3">
        <v>9</v>
      </c>
      <c r="Z323" s="3">
        <v>180</v>
      </c>
      <c r="AA323" s="3">
        <v>74.625</v>
      </c>
      <c r="AB323" s="3">
        <v>84</v>
      </c>
    </row>
    <row r="324" spans="24:28" x14ac:dyDescent="0.35">
      <c r="X324" s="3" t="s">
        <v>5</v>
      </c>
      <c r="Y324" s="3">
        <v>10</v>
      </c>
      <c r="Z324" s="3">
        <v>180</v>
      </c>
      <c r="AA324" s="3">
        <v>90</v>
      </c>
      <c r="AB324" s="3">
        <v>99</v>
      </c>
    </row>
    <row r="325" spans="24:28" x14ac:dyDescent="0.35">
      <c r="X325" s="3" t="s">
        <v>5</v>
      </c>
      <c r="Y325" s="3">
        <v>11</v>
      </c>
      <c r="Z325" s="3">
        <v>180</v>
      </c>
      <c r="AA325" s="3">
        <v>72.1875</v>
      </c>
      <c r="AB325" s="3">
        <v>84</v>
      </c>
    </row>
    <row r="326" spans="24:28" x14ac:dyDescent="0.35">
      <c r="X326" s="3" t="s">
        <v>5</v>
      </c>
      <c r="Y326" s="3">
        <v>12</v>
      </c>
      <c r="Z326" s="3">
        <v>180</v>
      </c>
      <c r="AA326" s="3">
        <v>75</v>
      </c>
      <c r="AB326" s="3">
        <v>72</v>
      </c>
    </row>
    <row r="327" spans="24:28" x14ac:dyDescent="0.35">
      <c r="AA327" s="3"/>
    </row>
    <row r="328" spans="24:28" x14ac:dyDescent="0.35">
      <c r="AA328" s="3"/>
    </row>
  </sheetData>
  <mergeCells count="2">
    <mergeCell ref="C1:K1"/>
    <mergeCell ref="N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Time</vt:lpstr>
      <vt:lpstr>Graphics</vt:lpstr>
      <vt:lpstr>Induction Freq</vt:lpstr>
      <vt:lpstr>Recovery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2025-05-01T19:21:20Z</dcterms:created>
  <dcterms:modified xsi:type="dcterms:W3CDTF">2026-01-21T01:58:42Z</dcterms:modified>
</cp:coreProperties>
</file>