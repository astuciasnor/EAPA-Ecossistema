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E:\Masters Aquaculture\Journal papers for thesis kafia\Data sheets Thesis work\Excel data sheets KAFIA thesis\Final data sheets KAFIA\KAFIA data in brief\Data in brief final\Data in brief all excel sheets\"/>
    </mc:Choice>
  </mc:AlternateContent>
  <xr:revisionPtr revIDLastSave="0" documentId="13_ncr:1_{D3641C32-B536-4D55-BF27-76CF2780906B}" xr6:coauthVersionLast="46" xr6:coauthVersionMax="46" xr10:uidLastSave="{00000000-0000-0000-0000-000000000000}"/>
  <bookViews>
    <workbookView xWindow="-120" yWindow="-120" windowWidth="20730" windowHeight="10545" xr2:uid="{00000000-000D-0000-FFFF-FFFF00000000}"/>
  </bookViews>
  <sheets>
    <sheet name="Data for SGR and Survival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1" i="2" l="1"/>
  <c r="L41" i="2"/>
  <c r="I41" i="2"/>
  <c r="G41" i="2"/>
  <c r="M40" i="2"/>
  <c r="L40" i="2"/>
  <c r="I40" i="2"/>
  <c r="G40" i="2"/>
  <c r="M39" i="2"/>
  <c r="L39" i="2"/>
  <c r="I39" i="2"/>
  <c r="G39" i="2"/>
  <c r="N38" i="2"/>
  <c r="K38" i="2"/>
  <c r="N37" i="2"/>
  <c r="K37" i="2"/>
  <c r="N36" i="2"/>
  <c r="N41" i="2" s="1"/>
  <c r="K36" i="2"/>
  <c r="K40" i="2" s="1"/>
  <c r="M34" i="2"/>
  <c r="L34" i="2"/>
  <c r="I34" i="2"/>
  <c r="G34" i="2"/>
  <c r="M33" i="2"/>
  <c r="L33" i="2"/>
  <c r="I33" i="2"/>
  <c r="G33" i="2"/>
  <c r="M32" i="2"/>
  <c r="L32" i="2"/>
  <c r="I32" i="2"/>
  <c r="G32" i="2"/>
  <c r="N31" i="2"/>
  <c r="K31" i="2"/>
  <c r="N30" i="2"/>
  <c r="K30" i="2"/>
  <c r="N29" i="2"/>
  <c r="N34" i="2" s="1"/>
  <c r="K29" i="2"/>
  <c r="K33" i="2" s="1"/>
  <c r="M28" i="2"/>
  <c r="L28" i="2"/>
  <c r="I28" i="2"/>
  <c r="G28" i="2"/>
  <c r="M27" i="2"/>
  <c r="L27" i="2"/>
  <c r="I27" i="2"/>
  <c r="G27" i="2"/>
  <c r="M26" i="2"/>
  <c r="L26" i="2"/>
  <c r="I26" i="2"/>
  <c r="G26" i="2"/>
  <c r="N25" i="2"/>
  <c r="K25" i="2"/>
  <c r="N24" i="2"/>
  <c r="K24" i="2"/>
  <c r="N23" i="2"/>
  <c r="N28" i="2" s="1"/>
  <c r="K23" i="2"/>
  <c r="K27" i="2" s="1"/>
  <c r="M21" i="2"/>
  <c r="L21" i="2"/>
  <c r="I21" i="2"/>
  <c r="G21" i="2"/>
  <c r="M20" i="2"/>
  <c r="L20" i="2"/>
  <c r="I20" i="2"/>
  <c r="G20" i="2"/>
  <c r="M19" i="2"/>
  <c r="L19" i="2"/>
  <c r="I19" i="2"/>
  <c r="G19" i="2"/>
  <c r="N18" i="2"/>
  <c r="K18" i="2"/>
  <c r="N17" i="2"/>
  <c r="K17" i="2"/>
  <c r="N16" i="2"/>
  <c r="N21" i="2" s="1"/>
  <c r="K16" i="2"/>
  <c r="K20" i="2" s="1"/>
  <c r="M15" i="2"/>
  <c r="L15" i="2"/>
  <c r="I15" i="2"/>
  <c r="G15" i="2"/>
  <c r="M14" i="2"/>
  <c r="L14" i="2"/>
  <c r="I14" i="2"/>
  <c r="G14" i="2"/>
  <c r="M13" i="2"/>
  <c r="L13" i="2"/>
  <c r="I13" i="2"/>
  <c r="G13" i="2"/>
  <c r="N12" i="2"/>
  <c r="K12" i="2"/>
  <c r="N11" i="2"/>
  <c r="K11" i="2"/>
  <c r="N10" i="2"/>
  <c r="N15" i="2" s="1"/>
  <c r="K10" i="2"/>
  <c r="K14" i="2" s="1"/>
  <c r="K13" i="2" l="1"/>
  <c r="K19" i="2"/>
  <c r="K32" i="2"/>
  <c r="K34" i="2"/>
  <c r="K39" i="2"/>
  <c r="K41" i="2"/>
  <c r="N14" i="2"/>
  <c r="N20" i="2"/>
  <c r="N27" i="2"/>
  <c r="N33" i="2"/>
  <c r="N40" i="2"/>
  <c r="K15" i="2"/>
  <c r="K21" i="2"/>
  <c r="K26" i="2"/>
  <c r="K28" i="2"/>
  <c r="N13" i="2"/>
  <c r="N19" i="2"/>
  <c r="N26" i="2"/>
  <c r="N32" i="2"/>
  <c r="N39" i="2"/>
</calcChain>
</file>

<file path=xl/sharedStrings.xml><?xml version="1.0" encoding="utf-8"?>
<sst xmlns="http://schemas.openxmlformats.org/spreadsheetml/2006/main" count="49" uniqueCount="34">
  <si>
    <t>DATA in Brief</t>
  </si>
  <si>
    <t>SI No.</t>
  </si>
  <si>
    <t xml:space="preserve">Treatment </t>
  </si>
  <si>
    <t xml:space="preserve">Mean initial weight </t>
  </si>
  <si>
    <t>Mean Final weight</t>
  </si>
  <si>
    <t>Specific growth Rate</t>
  </si>
  <si>
    <t>Fish Stocked</t>
  </si>
  <si>
    <t>Fish Harvested</t>
  </si>
  <si>
    <t>Survival Rate</t>
  </si>
  <si>
    <t>(gram)</t>
  </si>
  <si>
    <t>(%/day)</t>
  </si>
  <si>
    <t>Number</t>
  </si>
  <si>
    <t>%</t>
  </si>
  <si>
    <t>Nannochloropsis</t>
  </si>
  <si>
    <t>N25R1</t>
  </si>
  <si>
    <t>N25R2</t>
  </si>
  <si>
    <t>N25R3</t>
  </si>
  <si>
    <t>Average</t>
  </si>
  <si>
    <t>STDEV</t>
  </si>
  <si>
    <t>SE</t>
  </si>
  <si>
    <t>N50R1</t>
  </si>
  <si>
    <t>N50R2</t>
  </si>
  <si>
    <t>N50R3</t>
  </si>
  <si>
    <t>Tetraselmis chuii</t>
  </si>
  <si>
    <t>T25R1</t>
  </si>
  <si>
    <t>T25R2</t>
  </si>
  <si>
    <t>T25R3</t>
  </si>
  <si>
    <t>T50R1</t>
  </si>
  <si>
    <t>T50R2</t>
  </si>
  <si>
    <t>T50R3</t>
  </si>
  <si>
    <t>Control</t>
  </si>
  <si>
    <t>CR1</t>
  </si>
  <si>
    <t>CR2</t>
  </si>
  <si>
    <t>CR3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</si>
</sst>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D544-3B78-45DA-9801-54381CC9D24D}">
  <sheetPr>
    <tabColor rgb="FFFFFF00"/>
  </sheetPr>
  <dimension ref="D5:N42"/>
  <sheetViews>
    <sheetView tabSelected="1" topLeftCell="A19" zoomScale="80" zoomScaleNormal="80" workbookViewId="0">
      <selection activeCell="P21" sqref="P21"/>
    </sheetView>
  </sheetViews>
  <sheetFormatPr defaultRowHeight="15" x14ac:dyDescent="0.25"/>
  <cols>
    <col min="4" max="4" width="13.85546875" customWidth="1"/>
    <col min="5" max="5" width="18.140625" customWidth="1"/>
    <col min="6" max="6" width="8.140625" customWidth="1"/>
    <col min="7" max="7" width="12.42578125" customWidth="1"/>
    <col min="8" max="8" width="7.85546875" customWidth="1"/>
    <col min="9" max="9" width="13" customWidth="1"/>
    <col min="10" max="10" width="7.42578125" customWidth="1"/>
    <col min="11" max="11" width="23.85546875" customWidth="1"/>
    <col min="12" max="12" width="15.140625" customWidth="1"/>
    <col min="13" max="13" width="17.5703125" customWidth="1"/>
    <col min="14" max="14" width="16.28515625" customWidth="1"/>
  </cols>
  <sheetData>
    <row r="5" spans="4:14" ht="15.7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4:14" ht="15.75" x14ac:dyDescent="0.25">
      <c r="D6" s="1"/>
      <c r="E6" s="1"/>
      <c r="F6" s="1"/>
      <c r="G6" s="1"/>
      <c r="H6" s="1"/>
      <c r="I6" s="1"/>
      <c r="J6" s="1"/>
      <c r="K6" s="2" t="s">
        <v>0</v>
      </c>
      <c r="L6" s="1"/>
      <c r="M6" s="1"/>
      <c r="N6" s="2" t="s">
        <v>0</v>
      </c>
    </row>
    <row r="7" spans="4:14" ht="15.75" x14ac:dyDescent="0.25">
      <c r="D7" s="3" t="s">
        <v>1</v>
      </c>
      <c r="E7" s="3" t="s">
        <v>2</v>
      </c>
      <c r="F7" s="4"/>
      <c r="G7" s="5" t="s">
        <v>3</v>
      </c>
      <c r="H7" s="5"/>
      <c r="I7" s="5" t="s">
        <v>4</v>
      </c>
      <c r="J7" s="5"/>
      <c r="K7" s="5" t="s">
        <v>5</v>
      </c>
      <c r="L7" s="5" t="s">
        <v>6</v>
      </c>
      <c r="M7" s="5" t="s">
        <v>7</v>
      </c>
      <c r="N7" s="5" t="s">
        <v>8</v>
      </c>
    </row>
    <row r="8" spans="4:14" ht="15.75" x14ac:dyDescent="0.25">
      <c r="D8" s="6"/>
      <c r="E8" s="3"/>
      <c r="F8" s="7"/>
      <c r="G8" s="8" t="s">
        <v>9</v>
      </c>
      <c r="H8" s="8"/>
      <c r="I8" s="8" t="s">
        <v>9</v>
      </c>
      <c r="J8" s="8"/>
      <c r="K8" s="8" t="s">
        <v>10</v>
      </c>
      <c r="L8" s="8" t="s">
        <v>11</v>
      </c>
      <c r="M8" s="8" t="s">
        <v>11</v>
      </c>
      <c r="N8" s="8" t="s">
        <v>12</v>
      </c>
    </row>
    <row r="9" spans="4:14" ht="15.75" x14ac:dyDescent="0.25">
      <c r="D9" s="9"/>
      <c r="E9" s="10" t="s">
        <v>13</v>
      </c>
      <c r="F9" s="9"/>
      <c r="G9" s="9"/>
      <c r="H9" s="9"/>
      <c r="I9" s="9"/>
      <c r="J9" s="9"/>
      <c r="K9" s="11"/>
      <c r="L9" s="9"/>
      <c r="M9" s="9"/>
      <c r="N9" s="11"/>
    </row>
    <row r="10" spans="4:14" ht="15.75" x14ac:dyDescent="0.25">
      <c r="D10" s="9">
        <v>1</v>
      </c>
      <c r="E10" s="12" t="s">
        <v>14</v>
      </c>
      <c r="F10" s="9"/>
      <c r="G10" s="9">
        <v>2.3099999999999999E-2</v>
      </c>
      <c r="H10" s="9"/>
      <c r="I10" s="9">
        <v>1.3380000000000001</v>
      </c>
      <c r="J10" s="9"/>
      <c r="K10" s="11">
        <f>(LN(I10)-LN(G10))/56*100</f>
        <v>7.2483903985007609</v>
      </c>
      <c r="L10" s="9">
        <v>18</v>
      </c>
      <c r="M10" s="9">
        <v>15</v>
      </c>
      <c r="N10" s="11">
        <f>SUM(M10/L10)*100</f>
        <v>83.333333333333343</v>
      </c>
    </row>
    <row r="11" spans="4:14" ht="15.75" x14ac:dyDescent="0.25">
      <c r="D11" s="9">
        <v>2</v>
      </c>
      <c r="E11" s="12" t="s">
        <v>15</v>
      </c>
      <c r="F11" s="9"/>
      <c r="G11" s="9">
        <v>2.3300000000000001E-2</v>
      </c>
      <c r="H11" s="9"/>
      <c r="I11" s="9">
        <v>1.33</v>
      </c>
      <c r="J11" s="9"/>
      <c r="K11" s="11">
        <f>(LN(I11)-LN(G11))/56*100</f>
        <v>7.2222872511502585</v>
      </c>
      <c r="L11" s="9">
        <v>18</v>
      </c>
      <c r="M11" s="9">
        <v>16</v>
      </c>
      <c r="N11" s="11">
        <f>SUM(M11/L11)*100</f>
        <v>88.888888888888886</v>
      </c>
    </row>
    <row r="12" spans="4:14" ht="15.75" x14ac:dyDescent="0.25">
      <c r="D12" s="9">
        <v>3</v>
      </c>
      <c r="E12" s="12" t="s">
        <v>16</v>
      </c>
      <c r="F12" s="9"/>
      <c r="G12" s="9">
        <v>2.3E-2</v>
      </c>
      <c r="H12" s="9"/>
      <c r="I12" s="9">
        <v>1.3340000000000001</v>
      </c>
      <c r="J12" s="9"/>
      <c r="K12" s="11">
        <f>(LN(I12)-LN(G12))/56*100</f>
        <v>7.2507910902614645</v>
      </c>
      <c r="L12" s="9">
        <v>18</v>
      </c>
      <c r="M12" s="9">
        <v>16</v>
      </c>
      <c r="N12" s="11">
        <f>SUM(M12/L12)*100</f>
        <v>88.888888888888886</v>
      </c>
    </row>
    <row r="13" spans="4:14" ht="15.75" x14ac:dyDescent="0.25">
      <c r="D13" s="6"/>
      <c r="E13" s="3" t="s">
        <v>17</v>
      </c>
      <c r="F13" s="6"/>
      <c r="G13" s="6">
        <f>AVERAGE(G10:G12)</f>
        <v>2.3133333333333329E-2</v>
      </c>
      <c r="H13" s="6"/>
      <c r="I13" s="6">
        <f>AVERAGE(I10:I12)</f>
        <v>1.3340000000000003</v>
      </c>
      <c r="J13" s="6"/>
      <c r="K13" s="6">
        <f t="shared" ref="K13:L13" si="0">AVERAGE(K10:K12)</f>
        <v>7.240489579970828</v>
      </c>
      <c r="L13" s="6">
        <f t="shared" si="0"/>
        <v>18</v>
      </c>
      <c r="M13" s="6">
        <f>AVERAGE(M10:M12)</f>
        <v>15.666666666666666</v>
      </c>
      <c r="N13" s="6">
        <f>AVERAGE(N10:N12)</f>
        <v>87.037037037037024</v>
      </c>
    </row>
    <row r="14" spans="4:14" ht="15.75" x14ac:dyDescent="0.25">
      <c r="D14" s="11"/>
      <c r="E14" s="13" t="s">
        <v>18</v>
      </c>
      <c r="F14" s="11"/>
      <c r="G14" s="11">
        <f>_xlfn.STDEV.S( G10:G12)</f>
        <v>1.5275252316519563E-4</v>
      </c>
      <c r="H14" s="11"/>
      <c r="I14" s="11">
        <f>_xlfn.STDEV.S(I10:I12)</f>
        <v>4.0000000000000036E-3</v>
      </c>
      <c r="J14" s="11"/>
      <c r="K14" s="11">
        <f t="shared" ref="K14:L14" si="1">_xlfn.STDEV.S(K10:K12)</f>
        <v>1.5809314061703581E-2</v>
      </c>
      <c r="L14" s="11">
        <f t="shared" si="1"/>
        <v>0</v>
      </c>
      <c r="M14" s="11">
        <f>_xlfn.STDEV.S(M10:M12)</f>
        <v>0.57735026918962573</v>
      </c>
      <c r="N14" s="11">
        <f>_xlfn.STDEV.S(N10:N12)</f>
        <v>3.2075014954979135</v>
      </c>
    </row>
    <row r="15" spans="4:14" ht="15.75" x14ac:dyDescent="0.25">
      <c r="D15" s="14"/>
      <c r="E15" s="15" t="s">
        <v>19</v>
      </c>
      <c r="F15" s="14"/>
      <c r="G15" s="14">
        <f>_xlfn.STDEV.S(G10:G12)/(SQRT(COUNTA(G10:G12)))</f>
        <v>8.8191710368820241E-5</v>
      </c>
      <c r="H15" s="14"/>
      <c r="I15" s="14">
        <f>_xlfn.STDEV.S(I10:I12)/(SQRT(COUNTA(I10:I12)))</f>
        <v>2.3094010767585054E-3</v>
      </c>
      <c r="J15" s="14"/>
      <c r="K15" s="14">
        <f>_xlfn.STDEV.S(K10:K12)/(SQRT(COUNTA(K10:K12)))</f>
        <v>9.1275117292278982E-3</v>
      </c>
      <c r="L15" s="14">
        <f t="shared" ref="L15:N15" si="2">_xlfn.STDEV.S(L10:L12)/(SQRT(COUNTA(L10:L12)))</f>
        <v>0</v>
      </c>
      <c r="M15" s="14">
        <f t="shared" si="2"/>
        <v>0.33333333333333331</v>
      </c>
      <c r="N15" s="14">
        <f t="shared" si="2"/>
        <v>1.8518518518518476</v>
      </c>
    </row>
    <row r="16" spans="4:14" ht="15.75" x14ac:dyDescent="0.25">
      <c r="D16" s="9">
        <v>4</v>
      </c>
      <c r="E16" s="12" t="s">
        <v>20</v>
      </c>
      <c r="F16" s="9"/>
      <c r="G16" s="9">
        <v>2.3099999999999999E-2</v>
      </c>
      <c r="H16" s="9"/>
      <c r="I16" s="9">
        <v>1.0027999999999999</v>
      </c>
      <c r="J16" s="9"/>
      <c r="K16" s="11">
        <f>(LN(I16)-LN(G16))/56*100</f>
        <v>6.7334263370649818</v>
      </c>
      <c r="L16" s="9">
        <v>18</v>
      </c>
      <c r="M16" s="9">
        <v>15</v>
      </c>
      <c r="N16" s="11">
        <f>SUM(M16/L16)*100</f>
        <v>83.333333333333343</v>
      </c>
    </row>
    <row r="17" spans="4:14" ht="15.75" x14ac:dyDescent="0.25">
      <c r="D17" s="9">
        <v>5</v>
      </c>
      <c r="E17" s="12" t="s">
        <v>21</v>
      </c>
      <c r="F17" s="9"/>
      <c r="G17" s="9">
        <v>2.35E-2</v>
      </c>
      <c r="H17" s="9"/>
      <c r="I17" s="9">
        <v>1.0022</v>
      </c>
      <c r="J17" s="9"/>
      <c r="K17" s="11">
        <f>(LN(I17)-LN(G17))/56*100</f>
        <v>6.7017007881705544</v>
      </c>
      <c r="L17" s="9">
        <v>18</v>
      </c>
      <c r="M17" s="9">
        <v>15</v>
      </c>
      <c r="N17" s="11">
        <f>SUM(M17/L17)*100</f>
        <v>83.333333333333343</v>
      </c>
    </row>
    <row r="18" spans="4:14" ht="15.75" x14ac:dyDescent="0.25">
      <c r="D18" s="9">
        <v>6</v>
      </c>
      <c r="E18" s="12" t="s">
        <v>22</v>
      </c>
      <c r="F18" s="9"/>
      <c r="G18" s="9">
        <v>2.3300000000000001E-2</v>
      </c>
      <c r="H18" s="9"/>
      <c r="I18" s="9">
        <v>1.0075000000000001</v>
      </c>
      <c r="J18" s="9"/>
      <c r="K18" s="11">
        <f>(LN(I18)-LN(G18))/56*100</f>
        <v>6.7263820236592551</v>
      </c>
      <c r="L18" s="9">
        <v>18</v>
      </c>
      <c r="M18" s="9">
        <v>16</v>
      </c>
      <c r="N18" s="11">
        <f>SUM(M18/L18)*100</f>
        <v>88.888888888888886</v>
      </c>
    </row>
    <row r="19" spans="4:14" ht="15.75" x14ac:dyDescent="0.25">
      <c r="D19" s="6"/>
      <c r="E19" s="3" t="s">
        <v>17</v>
      </c>
      <c r="F19" s="6"/>
      <c r="G19" s="6">
        <f>AVERAGE(G16:G18)</f>
        <v>2.3300000000000001E-2</v>
      </c>
      <c r="H19" s="6"/>
      <c r="I19" s="6">
        <f>AVERAGE(I16:I18)</f>
        <v>1.0041666666666667</v>
      </c>
      <c r="J19" s="6"/>
      <c r="K19" s="6">
        <f t="shared" ref="K19:L19" si="3">AVERAGE(K16:K18)</f>
        <v>6.7205030496315965</v>
      </c>
      <c r="L19" s="6">
        <f t="shared" si="3"/>
        <v>18</v>
      </c>
      <c r="M19" s="6">
        <f>AVERAGE(M16:M18)</f>
        <v>15.333333333333334</v>
      </c>
      <c r="N19" s="6">
        <f>AVERAGE(N16:N18)</f>
        <v>85.18518518518519</v>
      </c>
    </row>
    <row r="20" spans="4:14" ht="15.75" x14ac:dyDescent="0.25">
      <c r="D20" s="11"/>
      <c r="E20" s="13" t="s">
        <v>18</v>
      </c>
      <c r="F20" s="11"/>
      <c r="G20" s="11">
        <f>_xlfn.STDEV.S(G16:G18)</f>
        <v>2.0000000000000052E-4</v>
      </c>
      <c r="H20" s="11"/>
      <c r="I20" s="11">
        <f>_xlfn.STDEV.S(I16:I18)</f>
        <v>2.9022979401387618E-3</v>
      </c>
      <c r="J20" s="11"/>
      <c r="K20" s="11">
        <f t="shared" ref="K20:L20" si="4">_xlfn.STDEV.S(K16:K18)</f>
        <v>1.6659812870395179E-2</v>
      </c>
      <c r="L20" s="11">
        <f t="shared" si="4"/>
        <v>0</v>
      </c>
      <c r="M20" s="11">
        <f>_xlfn.STDEV.S(M16:M18)</f>
        <v>0.57735026918962573</v>
      </c>
      <c r="N20" s="11">
        <f>_xlfn.STDEV.S(N16:N18)</f>
        <v>3.2075014954979135</v>
      </c>
    </row>
    <row r="21" spans="4:14" ht="15.75" x14ac:dyDescent="0.25">
      <c r="D21" s="14"/>
      <c r="E21" s="15" t="s">
        <v>19</v>
      </c>
      <c r="F21" s="14"/>
      <c r="G21" s="14">
        <f>_xlfn.STDEV.S( G16:G18)/(SQRT(COUNTA( G16:G18)))</f>
        <v>1.1547005383792547E-4</v>
      </c>
      <c r="H21" s="14"/>
      <c r="I21" s="14">
        <f>_xlfn.STDEV.S(I16:I18)/(SQRT(COUNTA(I16:I18)))</f>
        <v>1.6756424970076106E-3</v>
      </c>
      <c r="J21" s="14"/>
      <c r="K21" s="14">
        <f t="shared" ref="K21:L21" si="5">_xlfn.STDEV.S(K16:K18)/(SQRT(COUNTA(K16:K18)))</f>
        <v>9.6185474453714497E-3</v>
      </c>
      <c r="L21" s="14">
        <f t="shared" si="5"/>
        <v>0</v>
      </c>
      <c r="M21" s="14">
        <f>_xlfn.STDEV.S(M16:M18)/(SQRT(COUNTA(M16:M18)))</f>
        <v>0.33333333333333331</v>
      </c>
      <c r="N21" s="14">
        <f>_xlfn.STDEV.S(N16:N18)/(SQRT(COUNTA(N16:N18)))</f>
        <v>1.8518518518518476</v>
      </c>
    </row>
    <row r="22" spans="4:14" ht="15.75" x14ac:dyDescent="0.25">
      <c r="D22" s="9"/>
      <c r="E22" s="10" t="s">
        <v>23</v>
      </c>
      <c r="F22" s="9"/>
      <c r="G22" s="9"/>
      <c r="H22" s="9"/>
      <c r="I22" s="9"/>
      <c r="J22" s="9"/>
      <c r="K22" s="11"/>
      <c r="L22" s="9"/>
      <c r="M22" s="9"/>
      <c r="N22" s="11"/>
    </row>
    <row r="23" spans="4:14" ht="15.75" x14ac:dyDescent="0.25">
      <c r="D23" s="9">
        <v>7</v>
      </c>
      <c r="E23" s="12" t="s">
        <v>24</v>
      </c>
      <c r="F23" s="9"/>
      <c r="G23" s="9">
        <v>2.23E-2</v>
      </c>
      <c r="H23" s="9"/>
      <c r="I23" s="9">
        <v>1.87</v>
      </c>
      <c r="J23" s="9"/>
      <c r="K23" s="11">
        <f>(LN(I23)-LN(G23))/56*100</f>
        <v>7.9091196988974266</v>
      </c>
      <c r="L23" s="9">
        <v>18</v>
      </c>
      <c r="M23" s="9">
        <v>17</v>
      </c>
      <c r="N23" s="11">
        <f>SUM(M23/L23)*100</f>
        <v>94.444444444444443</v>
      </c>
    </row>
    <row r="24" spans="4:14" ht="15.75" x14ac:dyDescent="0.25">
      <c r="D24" s="9">
        <v>8</v>
      </c>
      <c r="E24" s="12" t="s">
        <v>25</v>
      </c>
      <c r="F24" s="9"/>
      <c r="G24" s="9">
        <v>2.35E-2</v>
      </c>
      <c r="H24" s="9"/>
      <c r="I24" s="9">
        <v>1.88</v>
      </c>
      <c r="J24" s="9"/>
      <c r="K24" s="11">
        <f>(LN(I24)-LN(G24))/56*100</f>
        <v>7.8250475619176445</v>
      </c>
      <c r="L24" s="9">
        <v>18</v>
      </c>
      <c r="M24" s="9">
        <v>16</v>
      </c>
      <c r="N24" s="11">
        <f>SUM(M24/L24)*100</f>
        <v>88.888888888888886</v>
      </c>
    </row>
    <row r="25" spans="4:14" ht="15.75" x14ac:dyDescent="0.25">
      <c r="D25" s="9">
        <v>9</v>
      </c>
      <c r="E25" s="12" t="s">
        <v>26</v>
      </c>
      <c r="F25" s="9"/>
      <c r="G25" s="9">
        <v>2.2499999999999999E-2</v>
      </c>
      <c r="H25" s="9"/>
      <c r="I25" s="9">
        <v>1.875</v>
      </c>
      <c r="J25" s="9"/>
      <c r="K25" s="11">
        <f>(LN(I25)-LN(G25))/56*100</f>
        <v>7.8979439807038156</v>
      </c>
      <c r="L25" s="9">
        <v>18</v>
      </c>
      <c r="M25" s="9">
        <v>17</v>
      </c>
      <c r="N25" s="11">
        <f>SUM(M25/L25)*100</f>
        <v>94.444444444444443</v>
      </c>
    </row>
    <row r="26" spans="4:14" ht="15.75" x14ac:dyDescent="0.25">
      <c r="D26" s="6"/>
      <c r="E26" s="3" t="s">
        <v>17</v>
      </c>
      <c r="F26" s="6"/>
      <c r="G26" s="6">
        <f>AVERAGE( G23:G25)</f>
        <v>2.2766666666666668E-2</v>
      </c>
      <c r="H26" s="6"/>
      <c r="I26" s="6">
        <f>AVERAGE(I23:I25)</f>
        <v>1.875</v>
      </c>
      <c r="J26" s="6"/>
      <c r="K26" s="6">
        <f t="shared" ref="K26:L26" si="6">AVERAGE(K23:K25)</f>
        <v>7.8773704138396283</v>
      </c>
      <c r="L26" s="6">
        <f t="shared" si="6"/>
        <v>18</v>
      </c>
      <c r="M26" s="6">
        <f>AVERAGE(M23:M25)</f>
        <v>16.666666666666668</v>
      </c>
      <c r="N26" s="6">
        <f>AVERAGE(N23:N25)</f>
        <v>92.592592592592595</v>
      </c>
    </row>
    <row r="27" spans="4:14" ht="15.75" x14ac:dyDescent="0.25">
      <c r="D27" s="11"/>
      <c r="E27" s="13" t="s">
        <v>18</v>
      </c>
      <c r="F27" s="11"/>
      <c r="G27" s="11">
        <f>_xlfn.STDEV.S(G23:G25)</f>
        <v>6.4291005073286377E-4</v>
      </c>
      <c r="H27" s="11"/>
      <c r="I27" s="11">
        <f>_xlfn.STDEV.S( I23:I25)</f>
        <v>4.9999999999998934E-3</v>
      </c>
      <c r="J27" s="11"/>
      <c r="K27" s="11">
        <f t="shared" ref="K27:L27" si="7">_xlfn.STDEV.S(K23:K25)</f>
        <v>4.565615833842334E-2</v>
      </c>
      <c r="L27" s="11">
        <f t="shared" si="7"/>
        <v>0</v>
      </c>
      <c r="M27" s="11">
        <f>_xlfn.STDEV.S(M23:M25)</f>
        <v>0.57735026918962584</v>
      </c>
      <c r="N27" s="11">
        <f>_xlfn.STDEV.S(N23:N25)</f>
        <v>3.2075014954979215</v>
      </c>
    </row>
    <row r="28" spans="4:14" ht="15.75" x14ac:dyDescent="0.25">
      <c r="D28" s="14"/>
      <c r="E28" s="15" t="s">
        <v>19</v>
      </c>
      <c r="F28" s="14"/>
      <c r="G28" s="14">
        <f>_xlfn.STDEV.S( G23:G25)/(SQRT(COUNTA( G23:G25)))</f>
        <v>3.7118429085533487E-4</v>
      </c>
      <c r="H28" s="14"/>
      <c r="I28" s="14">
        <f>_xlfn.STDEV.S(I23:I25)/(SQRT(COUNTA( I23:I25)))</f>
        <v>2.8867513459480674E-3</v>
      </c>
      <c r="J28" s="14"/>
      <c r="K28" s="14">
        <f t="shared" ref="K28:L28" si="8">_xlfn.STDEV.S(K23:K25)/(SQRT(COUNTA(K23:K25)))</f>
        <v>2.6359595306852893E-2</v>
      </c>
      <c r="L28" s="14">
        <f t="shared" si="8"/>
        <v>0</v>
      </c>
      <c r="M28" s="14">
        <f>_xlfn.STDEV.S(M23:M25)/(SQRT(COUNTA(M23:M25)))</f>
        <v>0.33333333333333337</v>
      </c>
      <c r="N28" s="14">
        <f>_xlfn.STDEV.S(N23:N25)/(SQRT(COUNTA(N23:N25)))</f>
        <v>1.8518518518518523</v>
      </c>
    </row>
    <row r="29" spans="4:14" ht="15.75" x14ac:dyDescent="0.25">
      <c r="D29" s="9">
        <v>10</v>
      </c>
      <c r="E29" s="12" t="s">
        <v>27</v>
      </c>
      <c r="F29" s="9"/>
      <c r="G29" s="9">
        <v>2.2100000000000002E-2</v>
      </c>
      <c r="H29" s="9"/>
      <c r="I29" s="9">
        <v>1.5369999999999999</v>
      </c>
      <c r="J29" s="9"/>
      <c r="K29" s="11">
        <f>(LN(I29)-LN(G29))/56*100</f>
        <v>7.5750180982408724</v>
      </c>
      <c r="L29" s="9">
        <v>18</v>
      </c>
      <c r="M29" s="9">
        <v>16</v>
      </c>
      <c r="N29" s="11">
        <f>SUM(M29/L29)*100</f>
        <v>88.888888888888886</v>
      </c>
    </row>
    <row r="30" spans="4:14" ht="15.75" x14ac:dyDescent="0.25">
      <c r="D30" s="9">
        <v>11</v>
      </c>
      <c r="E30" s="12" t="s">
        <v>28</v>
      </c>
      <c r="F30" s="9"/>
      <c r="G30" s="9">
        <v>2.3300000000000001E-2</v>
      </c>
      <c r="H30" s="9"/>
      <c r="I30" s="9">
        <v>1.5269999999999999</v>
      </c>
      <c r="J30" s="9"/>
      <c r="K30" s="11">
        <f>(LN(I30)-LN(G30))/56*100</f>
        <v>7.4689409725838889</v>
      </c>
      <c r="L30" s="9">
        <v>18</v>
      </c>
      <c r="M30" s="9">
        <v>17</v>
      </c>
      <c r="N30" s="11">
        <f>SUM(M30/L30)*100</f>
        <v>94.444444444444443</v>
      </c>
    </row>
    <row r="31" spans="4:14" ht="15.75" x14ac:dyDescent="0.25">
      <c r="D31" s="9">
        <v>12</v>
      </c>
      <c r="E31" s="12" t="s">
        <v>29</v>
      </c>
      <c r="F31" s="9"/>
      <c r="G31" s="9">
        <v>2.2700000000000001E-2</v>
      </c>
      <c r="H31" s="9"/>
      <c r="I31" s="9">
        <v>1.532</v>
      </c>
      <c r="J31" s="9"/>
      <c r="K31" s="11">
        <f>(LN(I31)-LN(G31))/56*100</f>
        <v>7.5213650460949637</v>
      </c>
      <c r="L31" s="9">
        <v>18</v>
      </c>
      <c r="M31" s="9">
        <v>16</v>
      </c>
      <c r="N31" s="11">
        <f>SUM(M31/L31)*100</f>
        <v>88.888888888888886</v>
      </c>
    </row>
    <row r="32" spans="4:14" ht="15.75" x14ac:dyDescent="0.25">
      <c r="D32" s="6"/>
      <c r="E32" s="3" t="s">
        <v>17</v>
      </c>
      <c r="F32" s="6"/>
      <c r="G32" s="6">
        <f>AVERAGE(G29:G31)</f>
        <v>2.2700000000000001E-2</v>
      </c>
      <c r="H32" s="6"/>
      <c r="I32" s="6">
        <f>AVERAGE( I29:I31)</f>
        <v>1.532</v>
      </c>
      <c r="J32" s="6"/>
      <c r="K32" s="6">
        <f t="shared" ref="K32:L32" si="9">AVERAGE(K29:K31)</f>
        <v>7.5217747056399089</v>
      </c>
      <c r="L32" s="6">
        <f t="shared" si="9"/>
        <v>18</v>
      </c>
      <c r="M32" s="6">
        <f>AVERAGE(M29:M31)</f>
        <v>16.333333333333332</v>
      </c>
      <c r="N32" s="6">
        <f>AVERAGE(N29:N31)</f>
        <v>90.740740740740719</v>
      </c>
    </row>
    <row r="33" spans="4:14" ht="15.75" x14ac:dyDescent="0.25">
      <c r="D33" s="11"/>
      <c r="E33" s="13" t="s">
        <v>18</v>
      </c>
      <c r="F33" s="11"/>
      <c r="G33" s="11">
        <f>_xlfn.STDEV.S(G29:G31)</f>
        <v>5.9999999999999984E-4</v>
      </c>
      <c r="H33" s="11"/>
      <c r="I33" s="11">
        <f>_xlfn.STDEV.S(I29:I31)</f>
        <v>5.0000000000000044E-3</v>
      </c>
      <c r="J33" s="11"/>
      <c r="K33" s="11">
        <f t="shared" ref="K33:L33" si="10">_xlfn.STDEV.S(K29:K31)</f>
        <v>5.3039749364216814E-2</v>
      </c>
      <c r="L33" s="11">
        <f t="shared" si="10"/>
        <v>0</v>
      </c>
      <c r="M33" s="11">
        <f>_xlfn.STDEV.S(M29:M31)</f>
        <v>0.57735026918962584</v>
      </c>
      <c r="N33" s="11">
        <f>_xlfn.STDEV.S(N29:N31)</f>
        <v>3.207501495497922</v>
      </c>
    </row>
    <row r="34" spans="4:14" ht="15.75" x14ac:dyDescent="0.25">
      <c r="D34" s="14"/>
      <c r="E34" s="15" t="s">
        <v>19</v>
      </c>
      <c r="F34" s="14"/>
      <c r="G34" s="14">
        <f>_xlfn.STDEV.S( G29:G31)/(SQRT(COUNTA(G29:G31)))</f>
        <v>3.464101615137754E-4</v>
      </c>
      <c r="H34" s="14"/>
      <c r="I34" s="14">
        <f>_xlfn.STDEV.S(I29:I31)/(SQRT(COUNTA( I29:I31)))</f>
        <v>2.8867513459481316E-3</v>
      </c>
      <c r="J34" s="14"/>
      <c r="K34" s="14">
        <f t="shared" ref="K34:L34" si="11">_xlfn.STDEV.S(K29:K31)/(SQRT(COUNTA(K29:K31)))</f>
        <v>3.0622513573180861E-2</v>
      </c>
      <c r="L34" s="14">
        <f t="shared" si="11"/>
        <v>0</v>
      </c>
      <c r="M34" s="14">
        <f>_xlfn.STDEV.S(M29:M31)/(SQRT(COUNTA(M29:M31)))</f>
        <v>0.33333333333333337</v>
      </c>
      <c r="N34" s="14">
        <f>_xlfn.STDEV.S(N29:N31)/(SQRT(COUNTA(N29:N31)))</f>
        <v>1.8518518518518525</v>
      </c>
    </row>
    <row r="35" spans="4:14" ht="15.75" x14ac:dyDescent="0.25">
      <c r="D35" s="9"/>
      <c r="E35" s="12" t="s">
        <v>30</v>
      </c>
      <c r="F35" s="9"/>
      <c r="G35" s="9"/>
      <c r="H35" s="9"/>
      <c r="I35" s="9"/>
      <c r="J35" s="9"/>
      <c r="K35" s="11"/>
      <c r="L35" s="9"/>
      <c r="M35" s="9"/>
      <c r="N35" s="9"/>
    </row>
    <row r="36" spans="4:14" ht="15.75" x14ac:dyDescent="0.25">
      <c r="D36" s="9">
        <v>13</v>
      </c>
      <c r="E36" s="12" t="s">
        <v>31</v>
      </c>
      <c r="F36" s="9"/>
      <c r="G36" s="9">
        <v>2.3199999999999998E-2</v>
      </c>
      <c r="H36" s="9"/>
      <c r="I36" s="9">
        <v>2.12</v>
      </c>
      <c r="J36" s="9"/>
      <c r="K36" s="11">
        <f>(LN(I36)-LN(G36))/56*100</f>
        <v>8.0625340874889186</v>
      </c>
      <c r="L36" s="9">
        <v>18</v>
      </c>
      <c r="M36" s="9">
        <v>10</v>
      </c>
      <c r="N36" s="11">
        <f>SUM(M36/L36)*100</f>
        <v>55.555555555555557</v>
      </c>
    </row>
    <row r="37" spans="4:14" ht="15.75" x14ac:dyDescent="0.25">
      <c r="D37" s="9">
        <v>14</v>
      </c>
      <c r="E37" s="12" t="s">
        <v>32</v>
      </c>
      <c r="F37" s="9"/>
      <c r="G37" s="9">
        <v>2.35E-2</v>
      </c>
      <c r="H37" s="9"/>
      <c r="I37" s="9">
        <v>2.13</v>
      </c>
      <c r="J37" s="9"/>
      <c r="K37" s="11">
        <f>(LN(I37)-LN(G37))/56*100</f>
        <v>8.0479943527738538</v>
      </c>
      <c r="L37" s="9">
        <v>18</v>
      </c>
      <c r="M37" s="9">
        <v>11</v>
      </c>
      <c r="N37" s="11">
        <f>SUM(M37/L37)*100</f>
        <v>61.111111111111114</v>
      </c>
    </row>
    <row r="38" spans="4:14" ht="15.75" x14ac:dyDescent="0.25">
      <c r="D38" s="9">
        <v>15</v>
      </c>
      <c r="E38" s="12" t="s">
        <v>33</v>
      </c>
      <c r="F38" s="9"/>
      <c r="G38" s="9">
        <v>2.3199999999999998E-2</v>
      </c>
      <c r="H38" s="9"/>
      <c r="I38" s="9">
        <v>2.125</v>
      </c>
      <c r="J38" s="9"/>
      <c r="K38" s="11">
        <f>(LN(I38)-LN(G38))/56*100</f>
        <v>8.0667407190825955</v>
      </c>
      <c r="L38" s="9">
        <v>18</v>
      </c>
      <c r="M38" s="9">
        <v>12</v>
      </c>
      <c r="N38" s="11">
        <f>SUM(M38/L38)*100</f>
        <v>66.666666666666657</v>
      </c>
    </row>
    <row r="39" spans="4:14" ht="15.75" x14ac:dyDescent="0.25">
      <c r="D39" s="6"/>
      <c r="E39" s="3" t="s">
        <v>17</v>
      </c>
      <c r="F39" s="6"/>
      <c r="G39" s="6">
        <f>AVERAGE(G36:G38)</f>
        <v>2.3299999999999998E-2</v>
      </c>
      <c r="H39" s="6"/>
      <c r="I39" s="6">
        <f>AVERAGE(I36:I38)</f>
        <v>2.125</v>
      </c>
      <c r="J39" s="6"/>
      <c r="K39" s="6">
        <f>AVERAGE(K36:K38)</f>
        <v>8.0590897197817899</v>
      </c>
      <c r="L39" s="6">
        <f t="shared" ref="L39:N39" si="12">AVERAGE(L36:L38)</f>
        <v>18</v>
      </c>
      <c r="M39" s="6">
        <f t="shared" si="12"/>
        <v>11</v>
      </c>
      <c r="N39" s="6">
        <f t="shared" si="12"/>
        <v>61.111111111111107</v>
      </c>
    </row>
    <row r="40" spans="4:14" ht="15.75" x14ac:dyDescent="0.25">
      <c r="D40" s="11"/>
      <c r="E40" s="13" t="s">
        <v>18</v>
      </c>
      <c r="F40" s="11"/>
      <c r="G40" s="11">
        <f>_xlfn.STDEV.S(G36:G38)</f>
        <v>1.7320508075688868E-4</v>
      </c>
      <c r="H40" s="11"/>
      <c r="I40" s="11">
        <f>_xlfn.STDEV.S(I36:I38)</f>
        <v>4.9999999999998934E-3</v>
      </c>
      <c r="J40" s="11"/>
      <c r="K40" s="11">
        <f>_xlfn.STDEV.S(K36:K38)</f>
        <v>9.8363770831448993E-3</v>
      </c>
      <c r="L40" s="11">
        <f t="shared" ref="L40:N40" si="13">_xlfn.STDEV.S(L36:L38)</f>
        <v>0</v>
      </c>
      <c r="M40" s="11">
        <f t="shared" si="13"/>
        <v>1</v>
      </c>
      <c r="N40" s="11">
        <f t="shared" si="13"/>
        <v>5.55555555555555</v>
      </c>
    </row>
    <row r="41" spans="4:14" ht="15.75" x14ac:dyDescent="0.25">
      <c r="D41" s="14"/>
      <c r="E41" s="15" t="s">
        <v>19</v>
      </c>
      <c r="F41" s="14"/>
      <c r="G41" s="14">
        <f>_xlfn.STDEV.S( G36:G38)/(SQRT(COUNTA(G36:G38)))</f>
        <v>1.0000000000000055E-4</v>
      </c>
      <c r="H41" s="14"/>
      <c r="I41" s="14">
        <f>_xlfn.STDEV.S(I36:I38)/(SQRT(COUNTA(I36:I38)))</f>
        <v>2.8867513459480674E-3</v>
      </c>
      <c r="J41" s="14"/>
      <c r="K41" s="14">
        <f t="shared" ref="K41:M41" si="14">_xlfn.STDEV.S(K36:K38)/(SQRT(COUNTA(K36:K38)))</f>
        <v>5.6790349568043739E-3</v>
      </c>
      <c r="L41" s="14">
        <f t="shared" si="14"/>
        <v>0</v>
      </c>
      <c r="M41" s="14">
        <f t="shared" si="14"/>
        <v>0.57735026918962584</v>
      </c>
      <c r="N41" s="14">
        <f>_xlfn.STDEV.S(N36:N38)/(SQRT((COUNTA(N36:N38))))</f>
        <v>3.207501495497918</v>
      </c>
    </row>
    <row r="42" spans="4:14" ht="15.75" x14ac:dyDescent="0.25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SGR and 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2021-06-03T13:56:37Z</dcterms:modified>
</cp:coreProperties>
</file>