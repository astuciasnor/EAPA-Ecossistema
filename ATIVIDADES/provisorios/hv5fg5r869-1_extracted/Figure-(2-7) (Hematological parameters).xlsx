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E:\Masters Aquaculture\Journal papers for thesis kafia\Data sheets Thesis work\Excel data sheets KAFIA thesis\Final data sheets KAFIA\KAFIA data in brief\Data in brief final\Data in brief all excel sheets\"/>
    </mc:Choice>
  </mc:AlternateContent>
  <xr:revisionPtr revIDLastSave="0" documentId="13_ncr:1_{1B2C5D7F-4332-49D0-944D-1323274CB4C6}" xr6:coauthVersionLast="46" xr6:coauthVersionMax="46" xr10:uidLastSave="{00000000-0000-0000-0000-000000000000}"/>
  <bookViews>
    <workbookView xWindow="-120" yWindow="-120" windowWidth="20730" windowHeight="10545" xr2:uid="{00000000-000D-0000-FFFF-FFFF00000000}"/>
  </bookViews>
  <sheets>
    <sheet name="Data for Haematology Analysis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8" i="2" l="1"/>
  <c r="J38" i="2"/>
  <c r="I38" i="2"/>
  <c r="H38" i="2"/>
  <c r="G38" i="2"/>
  <c r="F38" i="2"/>
  <c r="K37" i="2"/>
  <c r="J37" i="2"/>
  <c r="I37" i="2"/>
  <c r="H37" i="2"/>
  <c r="G37" i="2"/>
  <c r="F37" i="2"/>
  <c r="K36" i="2"/>
  <c r="J36" i="2"/>
  <c r="I36" i="2"/>
  <c r="H36" i="2"/>
  <c r="G36" i="2"/>
  <c r="F36" i="2"/>
  <c r="K31" i="2"/>
  <c r="J31" i="2"/>
  <c r="I31" i="2"/>
  <c r="H31" i="2"/>
  <c r="G31" i="2"/>
  <c r="F31" i="2"/>
  <c r="K30" i="2"/>
  <c r="J30" i="2"/>
  <c r="I30" i="2"/>
  <c r="H30" i="2"/>
  <c r="G30" i="2"/>
  <c r="F30" i="2"/>
  <c r="K29" i="2"/>
  <c r="J29" i="2"/>
  <c r="I29" i="2"/>
  <c r="H29" i="2"/>
  <c r="G29" i="2"/>
  <c r="F29" i="2"/>
  <c r="K25" i="2"/>
  <c r="J25" i="2"/>
  <c r="I25" i="2"/>
  <c r="H25" i="2"/>
  <c r="G25" i="2"/>
  <c r="F25" i="2"/>
  <c r="K24" i="2"/>
  <c r="J24" i="2"/>
  <c r="I24" i="2"/>
  <c r="H24" i="2"/>
  <c r="G24" i="2"/>
  <c r="F24" i="2"/>
  <c r="K23" i="2"/>
  <c r="J23" i="2"/>
  <c r="I23" i="2"/>
  <c r="H23" i="2"/>
  <c r="G23" i="2"/>
  <c r="F23" i="2"/>
  <c r="K18" i="2"/>
  <c r="J18" i="2"/>
  <c r="I18" i="2"/>
  <c r="H18" i="2"/>
  <c r="G18" i="2"/>
  <c r="F18" i="2"/>
  <c r="K17" i="2"/>
  <c r="J17" i="2"/>
  <c r="I17" i="2"/>
  <c r="H17" i="2"/>
  <c r="G17" i="2"/>
  <c r="F17" i="2"/>
  <c r="K16" i="2"/>
  <c r="J16" i="2"/>
  <c r="I16" i="2"/>
  <c r="H16" i="2"/>
  <c r="G16" i="2"/>
  <c r="F16" i="2"/>
  <c r="K12" i="2"/>
  <c r="J12" i="2"/>
  <c r="I12" i="2"/>
  <c r="H12" i="2"/>
  <c r="G12" i="2"/>
  <c r="F12" i="2"/>
  <c r="K11" i="2"/>
  <c r="J11" i="2"/>
  <c r="I11" i="2"/>
  <c r="H11" i="2"/>
  <c r="G11" i="2"/>
  <c r="F11" i="2"/>
  <c r="K10" i="2"/>
  <c r="J10" i="2"/>
  <c r="I10" i="2"/>
  <c r="H10" i="2"/>
  <c r="G10" i="2"/>
  <c r="F10" i="2"/>
</calcChain>
</file>

<file path=xl/sharedStrings.xml><?xml version="1.0" encoding="utf-8"?>
<sst xmlns="http://schemas.openxmlformats.org/spreadsheetml/2006/main" count="47" uniqueCount="33">
  <si>
    <t>SI No.</t>
  </si>
  <si>
    <t xml:space="preserve">Treatment </t>
  </si>
  <si>
    <t>RBC</t>
  </si>
  <si>
    <t>Hb</t>
  </si>
  <si>
    <t>PCV</t>
  </si>
  <si>
    <t>WBC</t>
  </si>
  <si>
    <t>Lymphocytes</t>
  </si>
  <si>
    <t>Platelet</t>
  </si>
  <si>
    <r>
      <t>10</t>
    </r>
    <r>
      <rPr>
        <b/>
        <vertAlign val="superscript"/>
        <sz val="12"/>
        <color theme="1"/>
        <rFont val="Times New Roman"/>
        <family val="1"/>
      </rPr>
      <t>6</t>
    </r>
    <r>
      <rPr>
        <b/>
        <sz val="12"/>
        <color theme="1"/>
        <rFont val="Times New Roman"/>
        <family val="1"/>
      </rPr>
      <t>/µL</t>
    </r>
  </si>
  <si>
    <t>g/dl</t>
  </si>
  <si>
    <t>%</t>
  </si>
  <si>
    <r>
      <t>10</t>
    </r>
    <r>
      <rPr>
        <b/>
        <vertAlign val="super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>/µL</t>
    </r>
  </si>
  <si>
    <t>Nannochloropsis</t>
  </si>
  <si>
    <t>N25R1</t>
  </si>
  <si>
    <t>N25R2</t>
  </si>
  <si>
    <t>N25R3</t>
  </si>
  <si>
    <t>Average</t>
  </si>
  <si>
    <t>STDEV</t>
  </si>
  <si>
    <t>SE</t>
  </si>
  <si>
    <t>N50R1</t>
  </si>
  <si>
    <t>N50R2</t>
  </si>
  <si>
    <t>N50R3</t>
  </si>
  <si>
    <t>Tetraselmis chuii</t>
  </si>
  <si>
    <t>T25R1</t>
  </si>
  <si>
    <t>T25R2</t>
  </si>
  <si>
    <t>T25R3</t>
  </si>
  <si>
    <t>T50R1</t>
  </si>
  <si>
    <t>T50R2</t>
  </si>
  <si>
    <t>T50R3</t>
  </si>
  <si>
    <t>Control</t>
  </si>
  <si>
    <t>CR1</t>
  </si>
  <si>
    <t>CR2</t>
  </si>
  <si>
    <t>CR3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</si>
</sst>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DF1D0-464F-4A01-8439-85383A947F44}">
  <dimension ref="C4:K38"/>
  <sheetViews>
    <sheetView tabSelected="1" topLeftCell="B1" zoomScale="120" zoomScaleNormal="120" workbookViewId="0">
      <selection activeCell="L31" sqref="L31"/>
    </sheetView>
  </sheetViews>
  <sheetFormatPr defaultRowHeight="15" x14ac:dyDescent="0.25"/>
  <cols>
    <col min="4" max="4" width="18.42578125" customWidth="1"/>
    <col min="8" max="8" width="11.42578125" customWidth="1"/>
    <col min="10" max="10" width="16.140625" customWidth="1"/>
  </cols>
  <sheetData>
    <row r="4" spans="3:11" ht="15.75" x14ac:dyDescent="0.25">
      <c r="C4" s="1" t="s">
        <v>0</v>
      </c>
      <c r="D4" s="1" t="s">
        <v>1</v>
      </c>
      <c r="E4" s="1"/>
      <c r="F4" s="2" t="s">
        <v>2</v>
      </c>
      <c r="G4" s="3" t="s">
        <v>3</v>
      </c>
      <c r="H4" s="3" t="s">
        <v>4</v>
      </c>
      <c r="I4" s="2" t="s">
        <v>5</v>
      </c>
      <c r="J4" s="3" t="s">
        <v>6</v>
      </c>
      <c r="K4" s="2" t="s">
        <v>7</v>
      </c>
    </row>
    <row r="5" spans="3:11" ht="18.75" x14ac:dyDescent="0.25">
      <c r="C5" s="4"/>
      <c r="D5" s="1"/>
      <c r="E5" s="5"/>
      <c r="F5" s="2" t="s">
        <v>8</v>
      </c>
      <c r="G5" s="3" t="s">
        <v>9</v>
      </c>
      <c r="H5" s="3" t="s">
        <v>10</v>
      </c>
      <c r="I5" s="2" t="s">
        <v>11</v>
      </c>
      <c r="J5" s="3" t="s">
        <v>10</v>
      </c>
      <c r="K5" s="2" t="s">
        <v>11</v>
      </c>
    </row>
    <row r="6" spans="3:11" ht="15.75" x14ac:dyDescent="0.25">
      <c r="C6" s="6"/>
      <c r="D6" s="7" t="s">
        <v>12</v>
      </c>
      <c r="E6" s="6"/>
      <c r="F6" s="6"/>
      <c r="G6" s="6"/>
      <c r="H6" s="6"/>
      <c r="I6" s="6"/>
      <c r="J6" s="6"/>
      <c r="K6" s="6"/>
    </row>
    <row r="7" spans="3:11" ht="15.75" x14ac:dyDescent="0.25">
      <c r="C7" s="6">
        <v>1</v>
      </c>
      <c r="D7" s="8" t="s">
        <v>13</v>
      </c>
      <c r="E7" s="6"/>
      <c r="F7" s="6">
        <v>1.66</v>
      </c>
      <c r="G7" s="6">
        <v>8.1</v>
      </c>
      <c r="H7" s="6">
        <v>28.5</v>
      </c>
      <c r="I7" s="6">
        <v>21.8</v>
      </c>
      <c r="J7" s="6">
        <v>51.9</v>
      </c>
      <c r="K7" s="6">
        <v>45.5</v>
      </c>
    </row>
    <row r="8" spans="3:11" ht="15.75" x14ac:dyDescent="0.25">
      <c r="C8" s="6">
        <v>2</v>
      </c>
      <c r="D8" s="8" t="s">
        <v>14</v>
      </c>
      <c r="E8" s="6"/>
      <c r="F8" s="6">
        <v>1.68</v>
      </c>
      <c r="G8" s="6">
        <v>8.1999999999999993</v>
      </c>
      <c r="H8" s="6">
        <v>28.3</v>
      </c>
      <c r="I8" s="6">
        <v>21.6</v>
      </c>
      <c r="J8" s="6">
        <v>52.5</v>
      </c>
      <c r="K8" s="6">
        <v>45.7</v>
      </c>
    </row>
    <row r="9" spans="3:11" ht="15.75" x14ac:dyDescent="0.25">
      <c r="C9" s="6">
        <v>3</v>
      </c>
      <c r="D9" s="8" t="s">
        <v>15</v>
      </c>
      <c r="E9" s="6"/>
      <c r="F9" s="6">
        <v>1.67</v>
      </c>
      <c r="G9" s="6">
        <v>8.6</v>
      </c>
      <c r="H9" s="6">
        <v>28</v>
      </c>
      <c r="I9" s="6">
        <v>21</v>
      </c>
      <c r="J9" s="6">
        <v>52</v>
      </c>
      <c r="K9" s="6">
        <v>45.4</v>
      </c>
    </row>
    <row r="10" spans="3:11" ht="15.75" x14ac:dyDescent="0.25">
      <c r="C10" s="4"/>
      <c r="D10" s="1" t="s">
        <v>16</v>
      </c>
      <c r="E10" s="4"/>
      <c r="F10" s="4">
        <f>AVERAGE(F7:F9)</f>
        <v>1.67</v>
      </c>
      <c r="G10" s="4">
        <f>AVERAGE(G7:G9)</f>
        <v>8.2999999999999989</v>
      </c>
      <c r="H10" s="4">
        <f>AVERAGE(H7:H9)</f>
        <v>28.266666666666666</v>
      </c>
      <c r="I10" s="4">
        <f t="shared" ref="I10:K10" si="0">AVERAGE(I7:I9)</f>
        <v>21.466666666666669</v>
      </c>
      <c r="J10" s="4">
        <f t="shared" si="0"/>
        <v>52.133333333333333</v>
      </c>
      <c r="K10" s="4">
        <f t="shared" si="0"/>
        <v>45.533333333333331</v>
      </c>
    </row>
    <row r="11" spans="3:11" ht="15.75" x14ac:dyDescent="0.25">
      <c r="C11" s="9"/>
      <c r="D11" s="10" t="s">
        <v>17</v>
      </c>
      <c r="E11" s="9"/>
      <c r="F11" s="9">
        <f>_xlfn.STDEV.S(F7:F9)</f>
        <v>1.0000000000000009E-2</v>
      </c>
      <c r="G11" s="9">
        <f>_xlfn.STDEV.S(G7:G9)</f>
        <v>0.26457513110645914</v>
      </c>
      <c r="H11" s="9">
        <f>_xlfn.STDEV.S(H7:H9)</f>
        <v>0.25166114784235838</v>
      </c>
      <c r="I11" s="9">
        <f t="shared" ref="I11:K11" si="1">_xlfn.STDEV.S(I7:I9)</f>
        <v>0.41633319989322704</v>
      </c>
      <c r="J11" s="9">
        <f t="shared" si="1"/>
        <v>0.32145502536643233</v>
      </c>
      <c r="K11" s="9">
        <f t="shared" si="1"/>
        <v>0.15275252316519683</v>
      </c>
    </row>
    <row r="12" spans="3:11" ht="15.75" x14ac:dyDescent="0.25">
      <c r="C12" s="11"/>
      <c r="D12" s="2" t="s">
        <v>18</v>
      </c>
      <c r="E12" s="11"/>
      <c r="F12" s="11">
        <f>_xlfn.STDEV.S(F7:F9)/(SQRT(COUNTA(F7:F9)))</f>
        <v>5.7735026918962632E-3</v>
      </c>
      <c r="G12" s="11">
        <f>_xlfn.STDEV.S(G7:G9)/(SQRT(COUNTA(G7:G9)))</f>
        <v>0.15275252316519472</v>
      </c>
      <c r="H12" s="11">
        <f>_xlfn.STDEV.S(H7:H9)/(SQRT(COUNTA(H7:H9)))</f>
        <v>0.14529663145135582</v>
      </c>
      <c r="I12" s="11">
        <f t="shared" ref="I12:K12" si="2">_xlfn.STDEV.S(I7:I9)/(SQRT(COUNTA(I7:I9)))</f>
        <v>0.24037008503093291</v>
      </c>
      <c r="J12" s="11">
        <f t="shared" si="2"/>
        <v>0.18559214542766769</v>
      </c>
      <c r="K12" s="11">
        <f t="shared" si="2"/>
        <v>8.8191710368820939E-2</v>
      </c>
    </row>
    <row r="13" spans="3:11" ht="15.75" x14ac:dyDescent="0.25">
      <c r="C13" s="6">
        <v>4</v>
      </c>
      <c r="D13" s="8" t="s">
        <v>19</v>
      </c>
      <c r="E13" s="6"/>
      <c r="F13" s="6">
        <v>1.63</v>
      </c>
      <c r="G13" s="6">
        <v>7.4</v>
      </c>
      <c r="H13" s="6">
        <v>27.2</v>
      </c>
      <c r="I13" s="6">
        <v>19.7</v>
      </c>
      <c r="J13" s="6">
        <v>56.9</v>
      </c>
      <c r="K13" s="6">
        <v>28.5</v>
      </c>
    </row>
    <row r="14" spans="3:11" ht="15.75" x14ac:dyDescent="0.25">
      <c r="C14" s="6">
        <v>5</v>
      </c>
      <c r="D14" s="8" t="s">
        <v>20</v>
      </c>
      <c r="E14" s="6"/>
      <c r="F14" s="6">
        <v>1.62</v>
      </c>
      <c r="G14" s="6">
        <v>7.3</v>
      </c>
      <c r="H14" s="6">
        <v>27.5</v>
      </c>
      <c r="I14" s="6">
        <v>19.3</v>
      </c>
      <c r="J14" s="6">
        <v>56.3</v>
      </c>
      <c r="K14" s="6">
        <v>28.6</v>
      </c>
    </row>
    <row r="15" spans="3:11" ht="15.75" x14ac:dyDescent="0.25">
      <c r="C15" s="6">
        <v>6</v>
      </c>
      <c r="D15" s="8" t="s">
        <v>21</v>
      </c>
      <c r="E15" s="6"/>
      <c r="F15" s="6">
        <v>1.6</v>
      </c>
      <c r="G15" s="6">
        <v>7.7</v>
      </c>
      <c r="H15" s="6">
        <v>27</v>
      </c>
      <c r="I15" s="6">
        <v>19</v>
      </c>
      <c r="J15" s="6">
        <v>56</v>
      </c>
      <c r="K15" s="6">
        <v>28.9</v>
      </c>
    </row>
    <row r="16" spans="3:11" ht="15.75" x14ac:dyDescent="0.25">
      <c r="C16" s="4"/>
      <c r="D16" s="1" t="s">
        <v>16</v>
      </c>
      <c r="E16" s="4"/>
      <c r="F16" s="4">
        <f>AVERAGE(F13:F15)</f>
        <v>1.6166666666666665</v>
      </c>
      <c r="G16" s="4">
        <f>AVERAGE(G13:G15)</f>
        <v>7.4666666666666659</v>
      </c>
      <c r="H16" s="4">
        <f>AVERAGE(H13:H15)</f>
        <v>27.233333333333334</v>
      </c>
      <c r="I16" s="4">
        <f t="shared" ref="I16:K16" si="3">AVERAGE(I13:I15)</f>
        <v>19.333333333333332</v>
      </c>
      <c r="J16" s="4">
        <f t="shared" si="3"/>
        <v>56.4</v>
      </c>
      <c r="K16" s="4">
        <f t="shared" si="3"/>
        <v>28.666666666666668</v>
      </c>
    </row>
    <row r="17" spans="3:11" ht="15.75" x14ac:dyDescent="0.25">
      <c r="C17" s="9"/>
      <c r="D17" s="10" t="s">
        <v>17</v>
      </c>
      <c r="E17" s="9"/>
      <c r="F17" s="9">
        <f>_xlfn.STDEV.S(F13:F15)</f>
        <v>1.5275252316519383E-2</v>
      </c>
      <c r="G17" s="9">
        <f>_xlfn.STDEV.S(G13:G15)</f>
        <v>0.20816659994661338</v>
      </c>
      <c r="H17" s="9">
        <f>_xlfn.STDEV.S(H13:H15)</f>
        <v>0.25166114784235838</v>
      </c>
      <c r="I17" s="9">
        <f t="shared" ref="I17:K17" si="4">_xlfn.STDEV.S(I13:I15)</f>
        <v>0.35118845842842422</v>
      </c>
      <c r="J17" s="9">
        <f t="shared" si="4"/>
        <v>0.45825756949558355</v>
      </c>
      <c r="K17" s="9">
        <f t="shared" si="4"/>
        <v>0.20816659994661224</v>
      </c>
    </row>
    <row r="18" spans="3:11" ht="15.75" x14ac:dyDescent="0.25">
      <c r="C18" s="11"/>
      <c r="D18" s="2" t="s">
        <v>18</v>
      </c>
      <c r="E18" s="11"/>
      <c r="F18" s="11">
        <f>_xlfn.STDEV.S(F13:F15)/(SQRT(COUNTA(F13:F15)))</f>
        <v>8.8191710368819218E-3</v>
      </c>
      <c r="G18" s="11">
        <f>_xlfn.STDEV.S(G13:G15)/(SQRT(COUNTA(G13:G15)))</f>
        <v>0.12018504251546638</v>
      </c>
      <c r="H18" s="11">
        <f>_xlfn.STDEV.S(H13:H15)/(SQRT(COUNTA(H13:H15)))</f>
        <v>0.14529663145135582</v>
      </c>
      <c r="I18" s="11">
        <f t="shared" ref="I18:K18" si="5">_xlfn.STDEV.S(I13:I15)/(SQRT(COUNTA(I13:I15)))</f>
        <v>0.20275875100994042</v>
      </c>
      <c r="J18" s="11">
        <f t="shared" si="5"/>
        <v>0.26457513110645881</v>
      </c>
      <c r="K18" s="11">
        <f t="shared" si="5"/>
        <v>0.12018504251546572</v>
      </c>
    </row>
    <row r="19" spans="3:11" ht="15.75" x14ac:dyDescent="0.25">
      <c r="C19" s="6"/>
      <c r="D19" s="7" t="s">
        <v>22</v>
      </c>
      <c r="E19" s="6"/>
      <c r="F19" s="6"/>
      <c r="G19" s="6"/>
      <c r="H19" s="6"/>
      <c r="I19" s="6"/>
      <c r="J19" s="6"/>
      <c r="K19" s="6"/>
    </row>
    <row r="20" spans="3:11" ht="15.75" x14ac:dyDescent="0.25">
      <c r="C20" s="6">
        <v>7</v>
      </c>
      <c r="D20" s="8" t="s">
        <v>23</v>
      </c>
      <c r="E20" s="6"/>
      <c r="F20" s="6">
        <v>1.77</v>
      </c>
      <c r="G20" s="6">
        <v>9.8000000000000007</v>
      </c>
      <c r="H20" s="6">
        <v>32.700000000000003</v>
      </c>
      <c r="I20" s="6">
        <v>26.2</v>
      </c>
      <c r="J20" s="6">
        <v>47.7</v>
      </c>
      <c r="K20" s="6">
        <v>43.2</v>
      </c>
    </row>
    <row r="21" spans="3:11" ht="15.75" x14ac:dyDescent="0.25">
      <c r="C21" s="6">
        <v>8</v>
      </c>
      <c r="D21" s="8" t="s">
        <v>24</v>
      </c>
      <c r="E21" s="6"/>
      <c r="F21" s="6">
        <v>1.76</v>
      </c>
      <c r="G21" s="6">
        <v>9.6</v>
      </c>
      <c r="H21" s="6">
        <v>32.4</v>
      </c>
      <c r="I21" s="6">
        <v>26</v>
      </c>
      <c r="J21" s="6">
        <v>47.4</v>
      </c>
      <c r="K21" s="6">
        <v>43</v>
      </c>
    </row>
    <row r="22" spans="3:11" ht="15.75" x14ac:dyDescent="0.25">
      <c r="C22" s="6">
        <v>9</v>
      </c>
      <c r="D22" s="8" t="s">
        <v>25</v>
      </c>
      <c r="E22" s="6"/>
      <c r="F22" s="6">
        <v>1.7</v>
      </c>
      <c r="G22" s="6">
        <v>9.4</v>
      </c>
      <c r="H22" s="6">
        <v>32.9</v>
      </c>
      <c r="I22" s="6">
        <v>26.9</v>
      </c>
      <c r="J22" s="6">
        <v>47</v>
      </c>
      <c r="K22" s="6">
        <v>43.3</v>
      </c>
    </row>
    <row r="23" spans="3:11" ht="15.75" x14ac:dyDescent="0.25">
      <c r="C23" s="4"/>
      <c r="D23" s="1" t="s">
        <v>16</v>
      </c>
      <c r="E23" s="4"/>
      <c r="F23" s="4">
        <f>AVERAGE(F20:F22)</f>
        <v>1.7433333333333334</v>
      </c>
      <c r="G23" s="4">
        <f>AVERAGE(G20:G22)</f>
        <v>9.6</v>
      </c>
      <c r="H23" s="4">
        <f>AVERAGE(H20:H22)</f>
        <v>32.666666666666664</v>
      </c>
      <c r="I23" s="4">
        <f t="shared" ref="I23:K23" si="6">AVERAGE(I20:I22)</f>
        <v>26.366666666666664</v>
      </c>
      <c r="J23" s="4">
        <f t="shared" si="6"/>
        <v>47.366666666666667</v>
      </c>
      <c r="K23" s="4">
        <f t="shared" si="6"/>
        <v>43.166666666666664</v>
      </c>
    </row>
    <row r="24" spans="3:11" ht="15.75" x14ac:dyDescent="0.25">
      <c r="C24" s="9"/>
      <c r="D24" s="10" t="s">
        <v>17</v>
      </c>
      <c r="E24" s="9"/>
      <c r="F24" s="9">
        <f>_xlfn.STDEV.S(F20:F22)</f>
        <v>3.7859388972001862E-2</v>
      </c>
      <c r="G24" s="9">
        <f>_xlfn.STDEV.S(G20:G22)</f>
        <v>0.20000000000000018</v>
      </c>
      <c r="H24" s="9">
        <f>_xlfn.STDEV.S(H20:H22)</f>
        <v>0.2516611478423586</v>
      </c>
      <c r="I24" s="9">
        <f t="shared" ref="I24:K24" si="7">_xlfn.STDEV.S(I20:I22)</f>
        <v>0.47258156262526013</v>
      </c>
      <c r="J24" s="9">
        <f t="shared" si="7"/>
        <v>0.35118845842842589</v>
      </c>
      <c r="K24" s="9">
        <f t="shared" si="7"/>
        <v>0.15275252316519375</v>
      </c>
    </row>
    <row r="25" spans="3:11" ht="15.75" x14ac:dyDescent="0.25">
      <c r="C25" s="11"/>
      <c r="D25" s="2" t="s">
        <v>18</v>
      </c>
      <c r="E25" s="11"/>
      <c r="F25" s="11">
        <f>_xlfn.STDEV.S(F20:F22)/(SQRT(COUNTA(F20:F22)))</f>
        <v>2.1858128414340025E-2</v>
      </c>
      <c r="G25" s="11">
        <f>_xlfn.STDEV.S(G20:G22)/(SQRT(COUNTA(G20:G22)))</f>
        <v>0.11547005383792526</v>
      </c>
      <c r="H25" s="11">
        <f>_xlfn.STDEV.S(H20:H22)/(SQRT(COUNTA(H20:H22)))</f>
        <v>0.14529663145135596</v>
      </c>
      <c r="I25" s="11">
        <f t="shared" ref="I25:K25" si="8">_xlfn.STDEV.S(I20:I22)/(SQRT(COUNTA(I20:I22)))</f>
        <v>0.27284509239574795</v>
      </c>
      <c r="J25" s="11">
        <f t="shared" si="8"/>
        <v>0.2027587510099414</v>
      </c>
      <c r="K25" s="11">
        <f t="shared" si="8"/>
        <v>8.8191710368819162E-2</v>
      </c>
    </row>
    <row r="26" spans="3:11" ht="15.75" x14ac:dyDescent="0.25">
      <c r="C26" s="6">
        <v>10</v>
      </c>
      <c r="D26" s="8" t="s">
        <v>26</v>
      </c>
      <c r="E26" s="6"/>
      <c r="F26" s="6">
        <v>1.7</v>
      </c>
      <c r="G26" s="6">
        <v>8.6999999999999993</v>
      </c>
      <c r="H26" s="6">
        <v>30.8</v>
      </c>
      <c r="I26" s="6">
        <v>23.8</v>
      </c>
      <c r="J26" s="6">
        <v>48.7</v>
      </c>
      <c r="K26" s="6">
        <v>37.5</v>
      </c>
    </row>
    <row r="27" spans="3:11" ht="15.75" x14ac:dyDescent="0.25">
      <c r="C27" s="6">
        <v>11</v>
      </c>
      <c r="D27" s="8" t="s">
        <v>27</v>
      </c>
      <c r="E27" s="6"/>
      <c r="F27" s="6">
        <v>1.74</v>
      </c>
      <c r="G27" s="6">
        <v>8.5</v>
      </c>
      <c r="H27" s="6">
        <v>30.5</v>
      </c>
      <c r="I27" s="6">
        <v>23</v>
      </c>
      <c r="J27" s="6">
        <v>48</v>
      </c>
      <c r="K27" s="6">
        <v>37.200000000000003</v>
      </c>
    </row>
    <row r="28" spans="3:11" ht="15.75" x14ac:dyDescent="0.25">
      <c r="C28" s="6">
        <v>12</v>
      </c>
      <c r="D28" s="8" t="s">
        <v>28</v>
      </c>
      <c r="E28" s="6"/>
      <c r="F28" s="6">
        <v>1.72</v>
      </c>
      <c r="G28" s="6">
        <v>8.9</v>
      </c>
      <c r="H28" s="6">
        <v>30.3</v>
      </c>
      <c r="I28" s="6">
        <v>23.5</v>
      </c>
      <c r="J28" s="6">
        <v>47.9</v>
      </c>
      <c r="K28" s="6">
        <v>37.700000000000003</v>
      </c>
    </row>
    <row r="29" spans="3:11" ht="15.75" x14ac:dyDescent="0.25">
      <c r="C29" s="4"/>
      <c r="D29" s="1" t="s">
        <v>16</v>
      </c>
      <c r="E29" s="4"/>
      <c r="F29" s="4">
        <f>AVERAGE(F26:F28)</f>
        <v>1.72</v>
      </c>
      <c r="G29" s="4">
        <f>AVERAGE(G26:G28)</f>
        <v>8.7000000000000011</v>
      </c>
      <c r="H29" s="4">
        <f>AVERAGE(H26:H28)</f>
        <v>30.533333333333331</v>
      </c>
      <c r="I29" s="4">
        <f t="shared" ref="I29:K29" si="9">AVERAGE(I26:I28)</f>
        <v>23.433333333333334</v>
      </c>
      <c r="J29" s="4">
        <f t="shared" si="9"/>
        <v>48.199999999999996</v>
      </c>
      <c r="K29" s="4">
        <f t="shared" si="9"/>
        <v>37.466666666666669</v>
      </c>
    </row>
    <row r="30" spans="3:11" ht="15.75" x14ac:dyDescent="0.25">
      <c r="C30" s="9"/>
      <c r="D30" s="10" t="s">
        <v>17</v>
      </c>
      <c r="E30" s="9"/>
      <c r="F30" s="9">
        <f>_xlfn.STDEV.S(F26:F28)</f>
        <v>2.0000000000000018E-2</v>
      </c>
      <c r="G30" s="9">
        <f>_xlfn.STDEV.S(G26:G28)</f>
        <v>0.20000000000000018</v>
      </c>
      <c r="H30" s="9">
        <f>_xlfn.STDEV.S(H26:H28)</f>
        <v>0.25166114784235838</v>
      </c>
      <c r="I30" s="9">
        <f t="shared" ref="I30:K30" si="10">_xlfn.STDEV.S(I26:I28)</f>
        <v>0.40414518843273833</v>
      </c>
      <c r="J30" s="9">
        <f t="shared" si="10"/>
        <v>0.4358898943540695</v>
      </c>
      <c r="K30" s="9">
        <f t="shared" si="10"/>
        <v>0.25166114784235816</v>
      </c>
    </row>
    <row r="31" spans="3:11" ht="15.75" x14ac:dyDescent="0.25">
      <c r="C31" s="11"/>
      <c r="D31" s="2" t="s">
        <v>18</v>
      </c>
      <c r="E31" s="11"/>
      <c r="F31" s="11">
        <f>_xlfn.STDEV.S(F26:F28)/(SQRT(COUNTA(F26:F28)))</f>
        <v>1.1547005383792526E-2</v>
      </c>
      <c r="G31" s="11">
        <f>_xlfn.STDEV.S(G26:G28)/(SQRT(COUNTA(G26:G28)))</f>
        <v>0.11547005383792526</v>
      </c>
      <c r="H31" s="11">
        <f>_xlfn.STDEV.S(H26:H28)/(SQRT(COUNTA(H26:H28)))</f>
        <v>0.14529663145135582</v>
      </c>
      <c r="I31" s="11">
        <f t="shared" ref="I31:K31" si="11">_xlfn.STDEV.S(I26:I28)/(SQRT(COUNTA(I26:I28)))</f>
        <v>0.23333333333333353</v>
      </c>
      <c r="J31" s="11">
        <f t="shared" si="11"/>
        <v>0.2516611478423596</v>
      </c>
      <c r="K31" s="11">
        <f t="shared" si="11"/>
        <v>0.14529663145135568</v>
      </c>
    </row>
    <row r="32" spans="3:11" ht="15.75" x14ac:dyDescent="0.25">
      <c r="C32" s="6"/>
      <c r="D32" s="8" t="s">
        <v>29</v>
      </c>
      <c r="E32" s="6"/>
      <c r="F32" s="6"/>
      <c r="G32" s="6"/>
      <c r="H32" s="6"/>
      <c r="I32" s="6"/>
      <c r="J32" s="6"/>
      <c r="K32" s="6"/>
    </row>
    <row r="33" spans="3:11" ht="15.75" x14ac:dyDescent="0.25">
      <c r="C33" s="6">
        <v>13</v>
      </c>
      <c r="D33" s="8" t="s">
        <v>30</v>
      </c>
      <c r="E33" s="6"/>
      <c r="F33" s="6">
        <v>1.49</v>
      </c>
      <c r="G33" s="6">
        <v>6.9</v>
      </c>
      <c r="H33" s="6">
        <v>23.6</v>
      </c>
      <c r="I33" s="6">
        <v>18.899999999999999</v>
      </c>
      <c r="J33" s="6">
        <v>58.9</v>
      </c>
      <c r="K33" s="6">
        <v>66.2</v>
      </c>
    </row>
    <row r="34" spans="3:11" ht="15.75" x14ac:dyDescent="0.25">
      <c r="C34" s="6">
        <v>14</v>
      </c>
      <c r="D34" s="8" t="s">
        <v>31</v>
      </c>
      <c r="E34" s="6"/>
      <c r="F34" s="6">
        <v>1.46</v>
      </c>
      <c r="G34" s="6">
        <v>6.6</v>
      </c>
      <c r="H34" s="6">
        <v>23.3</v>
      </c>
      <c r="I34" s="6">
        <v>18.5</v>
      </c>
      <c r="J34" s="6">
        <v>59</v>
      </c>
      <c r="K34" s="6">
        <v>66.400000000000006</v>
      </c>
    </row>
    <row r="35" spans="3:11" ht="15.75" x14ac:dyDescent="0.25">
      <c r="C35" s="6">
        <v>15</v>
      </c>
      <c r="D35" s="8" t="s">
        <v>32</v>
      </c>
      <c r="E35" s="6"/>
      <c r="F35" s="6">
        <v>1.44</v>
      </c>
      <c r="G35" s="6">
        <v>7</v>
      </c>
      <c r="H35" s="6">
        <v>23</v>
      </c>
      <c r="I35" s="6">
        <v>17.899999999999999</v>
      </c>
      <c r="J35" s="6">
        <v>58</v>
      </c>
      <c r="K35" s="6">
        <v>66.3</v>
      </c>
    </row>
    <row r="36" spans="3:11" ht="15.75" x14ac:dyDescent="0.25">
      <c r="C36" s="4"/>
      <c r="D36" s="1" t="s">
        <v>16</v>
      </c>
      <c r="E36" s="4"/>
      <c r="F36" s="4">
        <f>AVERAGE(F33:F35)</f>
        <v>1.4633333333333336</v>
      </c>
      <c r="G36" s="4">
        <f>AVERAGE(G33:G35)</f>
        <v>6.833333333333333</v>
      </c>
      <c r="H36" s="4">
        <f>AVERAGE(H33:H35)</f>
        <v>23.3</v>
      </c>
      <c r="I36" s="4">
        <f t="shared" ref="I36:K36" si="12">AVERAGE(I33:I35)</f>
        <v>18.433333333333334</v>
      </c>
      <c r="J36" s="4">
        <f t="shared" si="12"/>
        <v>58.633333333333333</v>
      </c>
      <c r="K36" s="4">
        <f t="shared" si="12"/>
        <v>66.300000000000011</v>
      </c>
    </row>
    <row r="37" spans="3:11" ht="15.75" x14ac:dyDescent="0.25">
      <c r="C37" s="9"/>
      <c r="D37" s="10" t="s">
        <v>17</v>
      </c>
      <c r="E37" s="9"/>
      <c r="F37" s="9">
        <f>_xlfn.STDEV.S(F33:F35)</f>
        <v>2.5166114784235857E-2</v>
      </c>
      <c r="G37" s="9">
        <f>_xlfn.STDEV.S(G33:G35)</f>
        <v>0.20816659994661352</v>
      </c>
      <c r="H37" s="9">
        <f>_xlfn.STDEV.S(H33:H35)</f>
        <v>0.30000000000000071</v>
      </c>
      <c r="I37" s="9">
        <f t="shared" ref="I37:K37" si="13">_xlfn.STDEV.S(I33:I35)</f>
        <v>0.50332229568471676</v>
      </c>
      <c r="J37" s="9">
        <f t="shared" si="13"/>
        <v>0.55075705472860981</v>
      </c>
      <c r="K37" s="9">
        <f t="shared" si="13"/>
        <v>0.10000000000000142</v>
      </c>
    </row>
    <row r="38" spans="3:11" ht="15.75" x14ac:dyDescent="0.25">
      <c r="C38" s="11"/>
      <c r="D38" s="2" t="s">
        <v>18</v>
      </c>
      <c r="E38" s="11"/>
      <c r="F38" s="11">
        <f>_xlfn.STDEV.S(F33:F35)/(SQRT(COUNTA(F33:F35)))</f>
        <v>1.4529663145135593E-2</v>
      </c>
      <c r="G38" s="11">
        <f>_xlfn.STDEV.S(G33:G35)/(SQRT(COUNTA(G33:G35)))</f>
        <v>0.12018504251546645</v>
      </c>
      <c r="H38" s="11">
        <f>_xlfn.STDEV.S(H33:H35)/(SQRT(COUNTA(H33:H35)))</f>
        <v>0.17320508075688815</v>
      </c>
      <c r="I38" s="11">
        <f t="shared" ref="I38:K38" si="14">_xlfn.STDEV.S(I33:I35)/(SQRT(COUNTA(I33:I35)))</f>
        <v>0.29059326290271165</v>
      </c>
      <c r="J38" s="11">
        <f t="shared" si="14"/>
        <v>0.31797973380564831</v>
      </c>
      <c r="K38" s="11">
        <f t="shared" si="14"/>
        <v>5.77350269189634E-2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Haematology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2021-06-03T13:55:29Z</dcterms:modified>
</cp:coreProperties>
</file>