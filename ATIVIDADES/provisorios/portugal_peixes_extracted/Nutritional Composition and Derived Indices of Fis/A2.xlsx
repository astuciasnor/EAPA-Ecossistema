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universidadevigo.sharepoint.com/sites/07_PhD-08_Olivia/Documentos compartidos/08_Olivia/SOLO STUDIES/ST_04_Nutrition_PT_fish_ranking/"/>
    </mc:Choice>
  </mc:AlternateContent>
  <xr:revisionPtr revIDLastSave="533" documentId="8_{01B609FF-E022-46FD-A6B0-721036AE1D94}" xr6:coauthVersionLast="47" xr6:coauthVersionMax="47" xr10:uidLastSave="{5B1BBDCE-6EA7-4B0D-A981-BAD1114C4C53}"/>
  <bookViews>
    <workbookView xWindow="-108" yWindow="-108" windowWidth="23256" windowHeight="12456" xr2:uid="{A474052D-109F-4CB2-A9A1-E043B3FFC469}"/>
  </bookViews>
  <sheets>
    <sheet name="MASTER_SHEET" sheetId="1" r:id="rId1"/>
    <sheet name="RAW_DATA" sheetId="6" r:id="rId2"/>
    <sheet name="CLUSTER_SUMMARY" sheetId="7"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4" i="1" l="1"/>
  <c r="BO41" i="6"/>
  <c r="BN41" i="6"/>
  <c r="BM41" i="6"/>
  <c r="BK41" i="6"/>
  <c r="BJ41" i="6"/>
  <c r="BI41" i="6"/>
  <c r="BH41" i="6"/>
  <c r="BG41" i="6"/>
  <c r="BF41" i="6"/>
  <c r="BE41" i="6"/>
  <c r="BD41" i="6"/>
  <c r="BC41" i="6"/>
  <c r="BB41" i="6"/>
  <c r="BA41" i="6"/>
  <c r="AZ41" i="6"/>
  <c r="AY41" i="6"/>
  <c r="AX41" i="6"/>
  <c r="AW41" i="6"/>
  <c r="AV41" i="6"/>
  <c r="AU41" i="6"/>
  <c r="AS41" i="6"/>
  <c r="AT41" i="6" s="1"/>
  <c r="AQ41" i="6"/>
  <c r="AP41" i="6"/>
  <c r="AO41" i="6"/>
  <c r="AN41" i="6"/>
  <c r="AM41" i="6"/>
  <c r="AL41" i="6"/>
  <c r="BO40" i="6"/>
  <c r="BN40" i="6"/>
  <c r="BM40" i="6"/>
  <c r="BK40" i="6"/>
  <c r="BJ40" i="6"/>
  <c r="BI40" i="6"/>
  <c r="BH40" i="6"/>
  <c r="BG40" i="6"/>
  <c r="BF40" i="6"/>
  <c r="BE40" i="6"/>
  <c r="BD40" i="6"/>
  <c r="BC40" i="6"/>
  <c r="BB40" i="6"/>
  <c r="BA40" i="6"/>
  <c r="AZ40" i="6"/>
  <c r="AY40" i="6"/>
  <c r="AX40" i="6"/>
  <c r="AW40" i="6"/>
  <c r="AV40" i="6"/>
  <c r="AU40" i="6"/>
  <c r="AS40" i="6"/>
  <c r="AT40" i="6" s="1"/>
  <c r="AQ40" i="6"/>
  <c r="AP40" i="6"/>
  <c r="AO40" i="6"/>
  <c r="AN40" i="6"/>
  <c r="AM40" i="6"/>
  <c r="AL40" i="6"/>
  <c r="AR40" i="6" s="1"/>
  <c r="BO39" i="6"/>
  <c r="BN39" i="6"/>
  <c r="BM39" i="6"/>
  <c r="BK39" i="6"/>
  <c r="BJ39" i="6"/>
  <c r="BI39" i="6"/>
  <c r="BH39" i="6"/>
  <c r="BG39" i="6"/>
  <c r="BF39" i="6"/>
  <c r="BE39" i="6"/>
  <c r="BD39" i="6"/>
  <c r="BC39" i="6"/>
  <c r="BB39" i="6"/>
  <c r="BA39" i="6"/>
  <c r="AZ39" i="6"/>
  <c r="AY39" i="6"/>
  <c r="AX39" i="6"/>
  <c r="AW39" i="6"/>
  <c r="AV39" i="6"/>
  <c r="AU39" i="6"/>
  <c r="AS39" i="6"/>
  <c r="AT39" i="6" s="1"/>
  <c r="AQ39" i="6"/>
  <c r="AP39" i="6"/>
  <c r="AO39" i="6"/>
  <c r="AN39" i="6"/>
  <c r="AM39" i="6"/>
  <c r="AL39" i="6"/>
  <c r="BO38" i="6"/>
  <c r="BN38" i="6"/>
  <c r="BM38" i="6"/>
  <c r="BK38" i="6"/>
  <c r="BJ38" i="6"/>
  <c r="BI38" i="6"/>
  <c r="BH38" i="6"/>
  <c r="BG38" i="6"/>
  <c r="BF38" i="6"/>
  <c r="BE38" i="6"/>
  <c r="BD38" i="6"/>
  <c r="BC38" i="6"/>
  <c r="BB38" i="6"/>
  <c r="BA38" i="6"/>
  <c r="AZ38" i="6"/>
  <c r="AY38" i="6"/>
  <c r="AX38" i="6"/>
  <c r="AW38" i="6"/>
  <c r="AV38" i="6"/>
  <c r="AQ38" i="6"/>
  <c r="AP38" i="6"/>
  <c r="AO38" i="6"/>
  <c r="AN38" i="6"/>
  <c r="AM38" i="6"/>
  <c r="AL38" i="6"/>
  <c r="AR38" i="6" s="1"/>
  <c r="AJ38" i="6"/>
  <c r="AI38" i="6"/>
  <c r="BO37" i="6"/>
  <c r="BN37" i="6"/>
  <c r="BM37" i="6"/>
  <c r="BK37" i="6"/>
  <c r="BJ37" i="6"/>
  <c r="BI37" i="6"/>
  <c r="BH37" i="6"/>
  <c r="BG37" i="6"/>
  <c r="BF37" i="6"/>
  <c r="BE37" i="6"/>
  <c r="BD37" i="6"/>
  <c r="BC37" i="6"/>
  <c r="BB37" i="6"/>
  <c r="BA37" i="6"/>
  <c r="AZ37" i="6"/>
  <c r="AY37" i="6"/>
  <c r="AX37" i="6"/>
  <c r="AW37" i="6"/>
  <c r="AV37" i="6"/>
  <c r="AU37" i="6"/>
  <c r="AS37" i="6"/>
  <c r="AT37" i="6" s="1"/>
  <c r="AQ37" i="6"/>
  <c r="AP37" i="6"/>
  <c r="AO37" i="6"/>
  <c r="AN37" i="6"/>
  <c r="AL37" i="6"/>
  <c r="BO36" i="6"/>
  <c r="BN36" i="6"/>
  <c r="BM36" i="6"/>
  <c r="BK36" i="6"/>
  <c r="BJ36" i="6"/>
  <c r="BI36" i="6"/>
  <c r="BH36" i="6"/>
  <c r="BG36" i="6"/>
  <c r="BF36" i="6"/>
  <c r="BE36" i="6"/>
  <c r="BD36" i="6"/>
  <c r="BC36" i="6"/>
  <c r="BB36" i="6"/>
  <c r="BA36" i="6"/>
  <c r="AZ36" i="6"/>
  <c r="AY36" i="6"/>
  <c r="AX36" i="6"/>
  <c r="AW36" i="6"/>
  <c r="AV36" i="6"/>
  <c r="AU36" i="6"/>
  <c r="AS36" i="6"/>
  <c r="AT36" i="6" s="1"/>
  <c r="AQ36" i="6"/>
  <c r="AP36" i="6"/>
  <c r="AO36" i="6"/>
  <c r="AN36" i="6"/>
  <c r="AM36" i="6"/>
  <c r="AL36" i="6"/>
  <c r="BO35" i="6"/>
  <c r="BN35" i="6"/>
  <c r="BM35" i="6"/>
  <c r="BK35" i="6"/>
  <c r="BJ35" i="6"/>
  <c r="BI35" i="6"/>
  <c r="BH35" i="6"/>
  <c r="BG35" i="6"/>
  <c r="BF35" i="6"/>
  <c r="BE35" i="6"/>
  <c r="BD35" i="6"/>
  <c r="BC35" i="6"/>
  <c r="BB35" i="6"/>
  <c r="BA35" i="6"/>
  <c r="AZ35" i="6"/>
  <c r="AY35" i="6"/>
  <c r="AX35" i="6"/>
  <c r="AW35" i="6"/>
  <c r="AV35" i="6"/>
  <c r="AU35" i="6"/>
  <c r="AS35" i="6"/>
  <c r="AT35" i="6" s="1"/>
  <c r="AQ35" i="6"/>
  <c r="AP35" i="6"/>
  <c r="AO35" i="6"/>
  <c r="AN35" i="6"/>
  <c r="AM35" i="6"/>
  <c r="AL35" i="6"/>
  <c r="BO34" i="6"/>
  <c r="BN34" i="6"/>
  <c r="BM34" i="6"/>
  <c r="BK34" i="6"/>
  <c r="BJ34" i="6"/>
  <c r="BI34" i="6"/>
  <c r="BH34" i="6"/>
  <c r="BG34" i="6"/>
  <c r="BF34" i="6"/>
  <c r="BE34" i="6"/>
  <c r="BD34" i="6"/>
  <c r="BC34" i="6"/>
  <c r="BB34" i="6"/>
  <c r="BA34" i="6"/>
  <c r="AZ34" i="6"/>
  <c r="AY34" i="6"/>
  <c r="AX34" i="6"/>
  <c r="AW34" i="6"/>
  <c r="AV34" i="6"/>
  <c r="AU34" i="6"/>
  <c r="AS34" i="6"/>
  <c r="AQ34" i="6"/>
  <c r="AP34" i="6"/>
  <c r="AO34" i="6"/>
  <c r="AN34" i="6"/>
  <c r="AM34" i="6"/>
  <c r="AL34" i="6"/>
  <c r="BO33" i="6"/>
  <c r="BN33" i="6"/>
  <c r="BM33" i="6"/>
  <c r="BK33" i="6"/>
  <c r="BJ33" i="6"/>
  <c r="BI33" i="6"/>
  <c r="BH33" i="6"/>
  <c r="BG33" i="6"/>
  <c r="BF33" i="6"/>
  <c r="BE33" i="6"/>
  <c r="BD33" i="6"/>
  <c r="BC33" i="6"/>
  <c r="BB33" i="6"/>
  <c r="BA33" i="6"/>
  <c r="AZ33" i="6"/>
  <c r="AY33" i="6"/>
  <c r="AX33" i="6"/>
  <c r="AW33" i="6"/>
  <c r="AV33" i="6"/>
  <c r="AQ33" i="6"/>
  <c r="AP33" i="6"/>
  <c r="AO33" i="6"/>
  <c r="AN33" i="6"/>
  <c r="AM33" i="6"/>
  <c r="AL33" i="6"/>
  <c r="AJ33" i="6"/>
  <c r="AI33" i="6"/>
  <c r="AU33" i="6" s="1"/>
  <c r="BO32" i="6"/>
  <c r="BN32" i="6"/>
  <c r="BM32" i="6"/>
  <c r="BK32" i="6"/>
  <c r="BJ32" i="6"/>
  <c r="BI32" i="6"/>
  <c r="BH32" i="6"/>
  <c r="BG32" i="6"/>
  <c r="BF32" i="6"/>
  <c r="BE32" i="6"/>
  <c r="BD32" i="6"/>
  <c r="BC32" i="6"/>
  <c r="BB32" i="6"/>
  <c r="BA32" i="6"/>
  <c r="AZ32" i="6"/>
  <c r="AY32" i="6"/>
  <c r="AX32" i="6"/>
  <c r="AW32" i="6"/>
  <c r="AV32" i="6"/>
  <c r="AU32" i="6"/>
  <c r="AS32" i="6"/>
  <c r="AT32" i="6" s="1"/>
  <c r="AQ32" i="6"/>
  <c r="AP32" i="6"/>
  <c r="AO32" i="6"/>
  <c r="AN32" i="6"/>
  <c r="AM32" i="6"/>
  <c r="AL32" i="6"/>
  <c r="BO31" i="6"/>
  <c r="BN31" i="6"/>
  <c r="BM31" i="6"/>
  <c r="BK31" i="6"/>
  <c r="BJ31" i="6"/>
  <c r="BI31" i="6"/>
  <c r="BH31" i="6"/>
  <c r="BG31" i="6"/>
  <c r="BF31" i="6"/>
  <c r="BE31" i="6"/>
  <c r="BD31" i="6"/>
  <c r="BC31" i="6"/>
  <c r="BB31" i="6"/>
  <c r="BA31" i="6"/>
  <c r="AZ31" i="6"/>
  <c r="AY31" i="6"/>
  <c r="AX31" i="6"/>
  <c r="AW31" i="6"/>
  <c r="AV31" i="6"/>
  <c r="AU31" i="6"/>
  <c r="AS31" i="6"/>
  <c r="AT31" i="6" s="1"/>
  <c r="AQ31" i="6"/>
  <c r="AP31" i="6"/>
  <c r="AO31" i="6"/>
  <c r="AN31" i="6"/>
  <c r="AM31" i="6"/>
  <c r="AL31" i="6"/>
  <c r="BO30" i="6"/>
  <c r="BN30" i="6"/>
  <c r="BM30" i="6"/>
  <c r="BK30" i="6"/>
  <c r="BJ30" i="6"/>
  <c r="BI30" i="6"/>
  <c r="BH30" i="6"/>
  <c r="BG30" i="6"/>
  <c r="BF30" i="6"/>
  <c r="BE30" i="6"/>
  <c r="BD30" i="6"/>
  <c r="BC30" i="6"/>
  <c r="BB30" i="6"/>
  <c r="BA30" i="6"/>
  <c r="AZ30" i="6"/>
  <c r="AY30" i="6"/>
  <c r="AX30" i="6"/>
  <c r="AW30" i="6"/>
  <c r="AV30" i="6"/>
  <c r="AS30" i="6"/>
  <c r="AT30" i="6" s="1"/>
  <c r="AQ30" i="6"/>
  <c r="AN30" i="6"/>
  <c r="AM30" i="6"/>
  <c r="AL30" i="6"/>
  <c r="BO29" i="6"/>
  <c r="BN29" i="6"/>
  <c r="BM29" i="6"/>
  <c r="BK29" i="6"/>
  <c r="BJ29" i="6"/>
  <c r="BI29" i="6"/>
  <c r="BH29" i="6"/>
  <c r="BG29" i="6"/>
  <c r="BF29" i="6"/>
  <c r="BE29" i="6"/>
  <c r="BD29" i="6"/>
  <c r="BC29" i="6"/>
  <c r="BB29" i="6"/>
  <c r="BA29" i="6"/>
  <c r="AZ29" i="6"/>
  <c r="AY29" i="6"/>
  <c r="AX29" i="6"/>
  <c r="AW29" i="6"/>
  <c r="AV29" i="6"/>
  <c r="AU29" i="6"/>
  <c r="AS29" i="6"/>
  <c r="AT29" i="6" s="1"/>
  <c r="AQ29" i="6"/>
  <c r="AP29" i="6"/>
  <c r="AO29" i="6"/>
  <c r="AN29" i="6"/>
  <c r="AM29" i="6"/>
  <c r="AL29" i="6"/>
  <c r="BO28" i="6"/>
  <c r="BN28" i="6"/>
  <c r="BM28" i="6"/>
  <c r="BK28" i="6"/>
  <c r="BJ28" i="6"/>
  <c r="BI28" i="6"/>
  <c r="BH28" i="6"/>
  <c r="BG28" i="6"/>
  <c r="BF28" i="6"/>
  <c r="BE28" i="6"/>
  <c r="BD28" i="6"/>
  <c r="BC28" i="6"/>
  <c r="BB28" i="6"/>
  <c r="BA28" i="6"/>
  <c r="AZ28" i="6"/>
  <c r="AY28" i="6"/>
  <c r="AX28" i="6"/>
  <c r="AW28" i="6"/>
  <c r="AV28" i="6"/>
  <c r="AU28" i="6"/>
  <c r="AS28" i="6"/>
  <c r="AT28" i="6" s="1"/>
  <c r="AQ28" i="6"/>
  <c r="AP28" i="6"/>
  <c r="AO28" i="6"/>
  <c r="AN28" i="6"/>
  <c r="AM28" i="6"/>
  <c r="AL28" i="6"/>
  <c r="BO27" i="6"/>
  <c r="BN27" i="6"/>
  <c r="BM27" i="6"/>
  <c r="BK27" i="6"/>
  <c r="BJ27" i="6"/>
  <c r="BI27" i="6"/>
  <c r="BH27" i="6"/>
  <c r="BG27" i="6"/>
  <c r="BF27" i="6"/>
  <c r="BE27" i="6"/>
  <c r="BD27" i="6"/>
  <c r="BC27" i="6"/>
  <c r="BB27" i="6"/>
  <c r="BA27" i="6"/>
  <c r="AZ27" i="6"/>
  <c r="AY27" i="6"/>
  <c r="AX27" i="6"/>
  <c r="AW27" i="6"/>
  <c r="AV27" i="6"/>
  <c r="AU27" i="6"/>
  <c r="AS27" i="6"/>
  <c r="AT27" i="6" s="1"/>
  <c r="AQ27" i="6"/>
  <c r="AR27" i="6" s="1"/>
  <c r="AP27" i="6"/>
  <c r="AO27" i="6"/>
  <c r="AN27" i="6"/>
  <c r="AM27" i="6"/>
  <c r="AL27" i="6"/>
  <c r="BO26" i="6"/>
  <c r="BN26" i="6"/>
  <c r="BM26" i="6"/>
  <c r="BK26" i="6"/>
  <c r="BJ26" i="6"/>
  <c r="BI26" i="6"/>
  <c r="BH26" i="6"/>
  <c r="BG26" i="6"/>
  <c r="BF26" i="6"/>
  <c r="BE26" i="6"/>
  <c r="BD26" i="6"/>
  <c r="BC26" i="6"/>
  <c r="BB26" i="6"/>
  <c r="BA26" i="6"/>
  <c r="AZ26" i="6"/>
  <c r="AY26" i="6"/>
  <c r="AX26" i="6"/>
  <c r="AW26" i="6"/>
  <c r="AV26" i="6"/>
  <c r="AU26" i="6"/>
  <c r="AS26" i="6"/>
  <c r="AT26" i="6" s="1"/>
  <c r="AQ26" i="6"/>
  <c r="AP26" i="6"/>
  <c r="AO26" i="6"/>
  <c r="AN26" i="6"/>
  <c r="AM26" i="6"/>
  <c r="AL26" i="6"/>
  <c r="BO25" i="6"/>
  <c r="BN25" i="6"/>
  <c r="BM25" i="6"/>
  <c r="BK25" i="6"/>
  <c r="BJ25" i="6"/>
  <c r="BI25" i="6"/>
  <c r="BH25" i="6"/>
  <c r="BG25" i="6"/>
  <c r="BF25" i="6"/>
  <c r="BE25" i="6"/>
  <c r="BD25" i="6"/>
  <c r="BC25" i="6"/>
  <c r="BB25" i="6"/>
  <c r="BA25" i="6"/>
  <c r="AZ25" i="6"/>
  <c r="AY25" i="6"/>
  <c r="AX25" i="6"/>
  <c r="AW25" i="6"/>
  <c r="AV25" i="6"/>
  <c r="AS25" i="6"/>
  <c r="AT25" i="6" s="1"/>
  <c r="AQ25" i="6"/>
  <c r="AN25" i="6"/>
  <c r="AM25" i="6"/>
  <c r="AL25" i="6"/>
  <c r="BO24" i="6"/>
  <c r="BN24" i="6"/>
  <c r="BM24" i="6"/>
  <c r="BK24" i="6"/>
  <c r="BJ24" i="6"/>
  <c r="BI24" i="6"/>
  <c r="BH24" i="6"/>
  <c r="BG24" i="6"/>
  <c r="BF24" i="6"/>
  <c r="BE24" i="6"/>
  <c r="BD24" i="6"/>
  <c r="BC24" i="6"/>
  <c r="BB24" i="6"/>
  <c r="BA24" i="6"/>
  <c r="AZ24" i="6"/>
  <c r="AY24" i="6"/>
  <c r="AX24" i="6"/>
  <c r="AW24" i="6"/>
  <c r="AV24" i="6"/>
  <c r="AU24" i="6"/>
  <c r="AS24" i="6"/>
  <c r="AT24" i="6" s="1"/>
  <c r="AQ24" i="6"/>
  <c r="AP24" i="6"/>
  <c r="AO24" i="6"/>
  <c r="AN24" i="6"/>
  <c r="AM24" i="6"/>
  <c r="AL24" i="6"/>
  <c r="BO23" i="6"/>
  <c r="BN23" i="6"/>
  <c r="BM23" i="6"/>
  <c r="BK23" i="6"/>
  <c r="BJ23" i="6"/>
  <c r="BI23" i="6"/>
  <c r="BH23" i="6"/>
  <c r="BG23" i="6"/>
  <c r="BF23" i="6"/>
  <c r="BE23" i="6"/>
  <c r="BD23" i="6"/>
  <c r="BC23" i="6"/>
  <c r="BB23" i="6"/>
  <c r="BA23" i="6"/>
  <c r="AZ23" i="6"/>
  <c r="AY23" i="6"/>
  <c r="AX23" i="6"/>
  <c r="AW23" i="6"/>
  <c r="AV23" i="6"/>
  <c r="AU23" i="6"/>
  <c r="AS23" i="6"/>
  <c r="AT23" i="6" s="1"/>
  <c r="AQ23" i="6"/>
  <c r="AP23" i="6"/>
  <c r="AO23" i="6"/>
  <c r="AN23" i="6"/>
  <c r="AM23" i="6"/>
  <c r="AL23" i="6"/>
  <c r="BO22" i="6"/>
  <c r="BN22" i="6"/>
  <c r="BM22" i="6"/>
  <c r="BK22" i="6"/>
  <c r="BJ22" i="6"/>
  <c r="BI22" i="6"/>
  <c r="BH22" i="6"/>
  <c r="BG22" i="6"/>
  <c r="BF22" i="6"/>
  <c r="BE22" i="6"/>
  <c r="BD22" i="6"/>
  <c r="BC22" i="6"/>
  <c r="BB22" i="6"/>
  <c r="BA22" i="6"/>
  <c r="AZ22" i="6"/>
  <c r="AY22" i="6"/>
  <c r="AX22" i="6"/>
  <c r="AW22" i="6"/>
  <c r="AV22" i="6"/>
  <c r="AU22" i="6"/>
  <c r="AS22" i="6"/>
  <c r="AT22" i="6" s="1"/>
  <c r="AQ22" i="6"/>
  <c r="AR22" i="6" s="1"/>
  <c r="AP22" i="6"/>
  <c r="AO22" i="6"/>
  <c r="AN22" i="6"/>
  <c r="AM22" i="6"/>
  <c r="AL22" i="6"/>
  <c r="BO21" i="6"/>
  <c r="BN21" i="6"/>
  <c r="BM21" i="6"/>
  <c r="BK21" i="6"/>
  <c r="BJ21" i="6"/>
  <c r="BI21" i="6"/>
  <c r="BH21" i="6"/>
  <c r="BG21" i="6"/>
  <c r="BF21" i="6"/>
  <c r="BE21" i="6"/>
  <c r="BD21" i="6"/>
  <c r="BC21" i="6"/>
  <c r="BB21" i="6"/>
  <c r="BA21" i="6"/>
  <c r="AZ21" i="6"/>
  <c r="AY21" i="6"/>
  <c r="AX21" i="6"/>
  <c r="AW21" i="6"/>
  <c r="AV21" i="6"/>
  <c r="AU21" i="6"/>
  <c r="AS21" i="6"/>
  <c r="AT21" i="6" s="1"/>
  <c r="AQ21" i="6"/>
  <c r="AP21" i="6"/>
  <c r="AO21" i="6"/>
  <c r="AN21" i="6"/>
  <c r="AM21" i="6"/>
  <c r="AL21" i="6"/>
  <c r="BO20" i="6"/>
  <c r="BN20" i="6"/>
  <c r="BM20" i="6"/>
  <c r="BK20" i="6"/>
  <c r="BJ20" i="6"/>
  <c r="BI20" i="6"/>
  <c r="BH20" i="6"/>
  <c r="BG20" i="6"/>
  <c r="BF20" i="6"/>
  <c r="BE20" i="6"/>
  <c r="BD20" i="6"/>
  <c r="BC20" i="6"/>
  <c r="BB20" i="6"/>
  <c r="BA20" i="6"/>
  <c r="AZ20" i="6"/>
  <c r="AY20" i="6"/>
  <c r="AX20" i="6"/>
  <c r="AW20" i="6"/>
  <c r="AV20" i="6"/>
  <c r="AU20" i="6"/>
  <c r="AS20" i="6"/>
  <c r="AT20" i="6" s="1"/>
  <c r="AQ20" i="6"/>
  <c r="AP20" i="6"/>
  <c r="AO20" i="6"/>
  <c r="AN20" i="6"/>
  <c r="AM20" i="6"/>
  <c r="AL20" i="6"/>
  <c r="BO19" i="6"/>
  <c r="BN19" i="6"/>
  <c r="BM19" i="6"/>
  <c r="BK19" i="6"/>
  <c r="BJ19" i="6"/>
  <c r="BI19" i="6"/>
  <c r="BH19" i="6"/>
  <c r="BG19" i="6"/>
  <c r="BF19" i="6"/>
  <c r="BE19" i="6"/>
  <c r="BD19" i="6"/>
  <c r="BC19" i="6"/>
  <c r="BB19" i="6"/>
  <c r="BA19" i="6"/>
  <c r="AZ19" i="6"/>
  <c r="AY19" i="6"/>
  <c r="AX19" i="6"/>
  <c r="AW19" i="6"/>
  <c r="AV19" i="6"/>
  <c r="AU19" i="6"/>
  <c r="AS19" i="6"/>
  <c r="AT19" i="6" s="1"/>
  <c r="AQ19" i="6"/>
  <c r="AP19" i="6"/>
  <c r="AO19" i="6"/>
  <c r="AN19" i="6"/>
  <c r="AM19" i="6"/>
  <c r="AL19" i="6"/>
  <c r="BO18" i="6"/>
  <c r="BN18" i="6"/>
  <c r="BM18" i="6"/>
  <c r="BK18" i="6"/>
  <c r="BJ18" i="6"/>
  <c r="BI18" i="6"/>
  <c r="BH18" i="6"/>
  <c r="BG18" i="6"/>
  <c r="BF18" i="6"/>
  <c r="BE18" i="6"/>
  <c r="BD18" i="6"/>
  <c r="BC18" i="6"/>
  <c r="BB18" i="6"/>
  <c r="BA18" i="6"/>
  <c r="AZ18" i="6"/>
  <c r="AY18" i="6"/>
  <c r="AX18" i="6"/>
  <c r="AW18" i="6"/>
  <c r="AV18" i="6"/>
  <c r="AU18" i="6"/>
  <c r="AS18" i="6"/>
  <c r="AT18" i="6" s="1"/>
  <c r="AQ18" i="6"/>
  <c r="AP18" i="6"/>
  <c r="AO18" i="6"/>
  <c r="AN18" i="6"/>
  <c r="AM18" i="6"/>
  <c r="AL18" i="6"/>
  <c r="BO17" i="6"/>
  <c r="BN17" i="6"/>
  <c r="BM17" i="6"/>
  <c r="BK17" i="6"/>
  <c r="BJ17" i="6"/>
  <c r="BI17" i="6"/>
  <c r="BH17" i="6"/>
  <c r="BG17" i="6"/>
  <c r="BF17" i="6"/>
  <c r="BE17" i="6"/>
  <c r="BD17" i="6"/>
  <c r="BC17" i="6"/>
  <c r="BB17" i="6"/>
  <c r="BA17" i="6"/>
  <c r="AZ17" i="6"/>
  <c r="AY17" i="6"/>
  <c r="AX17" i="6"/>
  <c r="AW17" i="6"/>
  <c r="AV17" i="6"/>
  <c r="AU17" i="6"/>
  <c r="AS17" i="6"/>
  <c r="AT17" i="6" s="1"/>
  <c r="AQ17" i="6"/>
  <c r="AN17" i="6"/>
  <c r="AM17" i="6"/>
  <c r="AL17" i="6"/>
  <c r="BO16" i="6"/>
  <c r="BN16" i="6"/>
  <c r="BM16" i="6"/>
  <c r="BK16" i="6"/>
  <c r="BJ16" i="6"/>
  <c r="BI16" i="6"/>
  <c r="BH16" i="6"/>
  <c r="BG16" i="6"/>
  <c r="BF16" i="6"/>
  <c r="BE16" i="6"/>
  <c r="BD16" i="6"/>
  <c r="BC16" i="6"/>
  <c r="BB16" i="6"/>
  <c r="BA16" i="6"/>
  <c r="AZ16" i="6"/>
  <c r="AY16" i="6"/>
  <c r="AX16" i="6"/>
  <c r="AW16" i="6"/>
  <c r="AV16" i="6"/>
  <c r="AS16" i="6"/>
  <c r="AT16" i="6" s="1"/>
  <c r="AQ16" i="6"/>
  <c r="AN16" i="6"/>
  <c r="AM16" i="6"/>
  <c r="AL16" i="6"/>
  <c r="BO15" i="6"/>
  <c r="BN15" i="6"/>
  <c r="BM15" i="6"/>
  <c r="BK15" i="6"/>
  <c r="BJ15" i="6"/>
  <c r="BI15" i="6"/>
  <c r="BH15" i="6"/>
  <c r="BG15" i="6"/>
  <c r="BF15" i="6"/>
  <c r="BE15" i="6"/>
  <c r="BD15" i="6"/>
  <c r="BC15" i="6"/>
  <c r="BB15" i="6"/>
  <c r="BA15" i="6"/>
  <c r="AZ15" i="6"/>
  <c r="AY15" i="6"/>
  <c r="AX15" i="6"/>
  <c r="AW15" i="6"/>
  <c r="AV15" i="6"/>
  <c r="AU15" i="6"/>
  <c r="AS15" i="6"/>
  <c r="AT15" i="6" s="1"/>
  <c r="AQ15" i="6"/>
  <c r="AN15" i="6"/>
  <c r="AM15" i="6"/>
  <c r="AL15" i="6"/>
  <c r="BO14" i="6"/>
  <c r="BN14" i="6"/>
  <c r="BM14" i="6"/>
  <c r="BK14" i="6"/>
  <c r="BJ14" i="6"/>
  <c r="BI14" i="6"/>
  <c r="BH14" i="6"/>
  <c r="BG14" i="6"/>
  <c r="BF14" i="6"/>
  <c r="BE14" i="6"/>
  <c r="BD14" i="6"/>
  <c r="BC14" i="6"/>
  <c r="BB14" i="6"/>
  <c r="BA14" i="6"/>
  <c r="AZ14" i="6"/>
  <c r="AY14" i="6"/>
  <c r="AX14" i="6"/>
  <c r="AW14" i="6"/>
  <c r="AV14" i="6"/>
  <c r="AU14" i="6"/>
  <c r="AS14" i="6"/>
  <c r="AT14" i="6" s="1"/>
  <c r="AQ14" i="6"/>
  <c r="AP14" i="6"/>
  <c r="AO14" i="6"/>
  <c r="AN14" i="6"/>
  <c r="AM14" i="6"/>
  <c r="AL14" i="6"/>
  <c r="AR14" i="6" s="1"/>
  <c r="BO13" i="6"/>
  <c r="BN13" i="6"/>
  <c r="BM13" i="6"/>
  <c r="BK13" i="6"/>
  <c r="BJ13" i="6"/>
  <c r="BI13" i="6"/>
  <c r="BH13" i="6"/>
  <c r="BG13" i="6"/>
  <c r="BF13" i="6"/>
  <c r="BE13" i="6"/>
  <c r="BD13" i="6"/>
  <c r="BC13" i="6"/>
  <c r="BB13" i="6"/>
  <c r="BA13" i="6"/>
  <c r="AZ13" i="6"/>
  <c r="AY13" i="6"/>
  <c r="AX13" i="6"/>
  <c r="AW13" i="6"/>
  <c r="AV13" i="6"/>
  <c r="AU13" i="6"/>
  <c r="AS13" i="6"/>
  <c r="AT13" i="6" s="1"/>
  <c r="AQ13" i="6"/>
  <c r="AP13" i="6"/>
  <c r="AO13" i="6"/>
  <c r="AN13" i="6"/>
  <c r="AM13" i="6"/>
  <c r="AL13" i="6"/>
  <c r="BO12" i="6"/>
  <c r="BN12" i="6"/>
  <c r="BM12" i="6"/>
  <c r="BK12" i="6"/>
  <c r="BJ12" i="6"/>
  <c r="BI12" i="6"/>
  <c r="BH12" i="6"/>
  <c r="BG12" i="6"/>
  <c r="BF12" i="6"/>
  <c r="BE12" i="6"/>
  <c r="BD12" i="6"/>
  <c r="BC12" i="6"/>
  <c r="BB12" i="6"/>
  <c r="BA12" i="6"/>
  <c r="AZ12" i="6"/>
  <c r="AY12" i="6"/>
  <c r="AX12" i="6"/>
  <c r="AW12" i="6"/>
  <c r="AV12" i="6"/>
  <c r="AU12" i="6"/>
  <c r="AS12" i="6"/>
  <c r="AT12" i="6" s="1"/>
  <c r="AQ12" i="6"/>
  <c r="AP12" i="6"/>
  <c r="AO12" i="6"/>
  <c r="AN12" i="6"/>
  <c r="AM12" i="6"/>
  <c r="AL12" i="6"/>
  <c r="BO11" i="6"/>
  <c r="BN11" i="6"/>
  <c r="BM11" i="6"/>
  <c r="BK11" i="6"/>
  <c r="BJ11" i="6"/>
  <c r="BI11" i="6"/>
  <c r="BH11" i="6"/>
  <c r="BG11" i="6"/>
  <c r="BF11" i="6"/>
  <c r="BE11" i="6"/>
  <c r="BD11" i="6"/>
  <c r="BC11" i="6"/>
  <c r="BB11" i="6"/>
  <c r="BA11" i="6"/>
  <c r="AZ11" i="6"/>
  <c r="AY11" i="6"/>
  <c r="AX11" i="6"/>
  <c r="AW11" i="6"/>
  <c r="AV11" i="6"/>
  <c r="AU11" i="6"/>
  <c r="AS11" i="6"/>
  <c r="AT11" i="6" s="1"/>
  <c r="AQ11" i="6"/>
  <c r="AP11" i="6"/>
  <c r="AO11" i="6"/>
  <c r="AN11" i="6"/>
  <c r="AM11" i="6"/>
  <c r="AL11" i="6"/>
  <c r="BO10" i="6"/>
  <c r="BN10" i="6"/>
  <c r="BM10" i="6"/>
  <c r="BK10" i="6"/>
  <c r="BJ10" i="6"/>
  <c r="BI10" i="6"/>
  <c r="BH10" i="6"/>
  <c r="BG10" i="6"/>
  <c r="BF10" i="6"/>
  <c r="BE10" i="6"/>
  <c r="BD10" i="6"/>
  <c r="BC10" i="6"/>
  <c r="BB10" i="6"/>
  <c r="BA10" i="6"/>
  <c r="AZ10" i="6"/>
  <c r="AY10" i="6"/>
  <c r="AX10" i="6"/>
  <c r="AW10" i="6"/>
  <c r="AV10" i="6"/>
  <c r="AU10" i="6"/>
  <c r="AS10" i="6"/>
  <c r="AT10" i="6" s="1"/>
  <c r="AQ10" i="6"/>
  <c r="AP10" i="6"/>
  <c r="AO10" i="6"/>
  <c r="AN10" i="6"/>
  <c r="AM10" i="6"/>
  <c r="AL10" i="6"/>
  <c r="BO9" i="6"/>
  <c r="BN9" i="6"/>
  <c r="BM9" i="6"/>
  <c r="BK9" i="6"/>
  <c r="BJ9" i="6"/>
  <c r="BI9" i="6"/>
  <c r="BH9" i="6"/>
  <c r="BG9" i="6"/>
  <c r="BF9" i="6"/>
  <c r="BE9" i="6"/>
  <c r="BD9" i="6"/>
  <c r="BC9" i="6"/>
  <c r="BB9" i="6"/>
  <c r="BA9" i="6"/>
  <c r="AZ9" i="6"/>
  <c r="AY9" i="6"/>
  <c r="AX9" i="6"/>
  <c r="AW9" i="6"/>
  <c r="AV9" i="6"/>
  <c r="AU9" i="6"/>
  <c r="AS9" i="6"/>
  <c r="AT9" i="6" s="1"/>
  <c r="AQ9" i="6"/>
  <c r="AP9" i="6"/>
  <c r="AO9" i="6"/>
  <c r="AN9" i="6"/>
  <c r="AM9" i="6"/>
  <c r="AL9" i="6"/>
  <c r="BO8" i="6"/>
  <c r="BN8" i="6"/>
  <c r="BM8" i="6"/>
  <c r="BK8" i="6"/>
  <c r="BJ8" i="6"/>
  <c r="BI8" i="6"/>
  <c r="BH8" i="6"/>
  <c r="BG8" i="6"/>
  <c r="BF8" i="6"/>
  <c r="BE8" i="6"/>
  <c r="BD8" i="6"/>
  <c r="BC8" i="6"/>
  <c r="BB8" i="6"/>
  <c r="BA8" i="6"/>
  <c r="AZ8" i="6"/>
  <c r="AY8" i="6"/>
  <c r="AX8" i="6"/>
  <c r="AW8" i="6"/>
  <c r="AV8" i="6"/>
  <c r="AU8" i="6"/>
  <c r="AS8" i="6"/>
  <c r="AT8" i="6" s="1"/>
  <c r="AQ8" i="6"/>
  <c r="AP8" i="6"/>
  <c r="AO8" i="6"/>
  <c r="AN8" i="6"/>
  <c r="AM8" i="6"/>
  <c r="AL8" i="6"/>
  <c r="BO7" i="6"/>
  <c r="BN7" i="6"/>
  <c r="BM7" i="6"/>
  <c r="BK7" i="6"/>
  <c r="BJ7" i="6"/>
  <c r="BI7" i="6"/>
  <c r="BH7" i="6"/>
  <c r="BG7" i="6"/>
  <c r="BF7" i="6"/>
  <c r="BE7" i="6"/>
  <c r="BD7" i="6"/>
  <c r="BC7" i="6"/>
  <c r="BB7" i="6"/>
  <c r="BA7" i="6"/>
  <c r="AZ7" i="6"/>
  <c r="AY7" i="6"/>
  <c r="AX7" i="6"/>
  <c r="AW7" i="6"/>
  <c r="AV7" i="6"/>
  <c r="AU7" i="6"/>
  <c r="AS7" i="6"/>
  <c r="AT7" i="6" s="1"/>
  <c r="AQ7" i="6"/>
  <c r="AP7" i="6"/>
  <c r="AO7" i="6"/>
  <c r="AN7" i="6"/>
  <c r="AM7" i="6"/>
  <c r="AL7" i="6"/>
  <c r="BO6" i="6"/>
  <c r="BN6" i="6"/>
  <c r="BM6" i="6"/>
  <c r="BK6" i="6"/>
  <c r="BJ6" i="6"/>
  <c r="BI6" i="6"/>
  <c r="BH6" i="6"/>
  <c r="BG6" i="6"/>
  <c r="BF6" i="6"/>
  <c r="BE6" i="6"/>
  <c r="BD6" i="6"/>
  <c r="BC6" i="6"/>
  <c r="BB6" i="6"/>
  <c r="BA6" i="6"/>
  <c r="AZ6" i="6"/>
  <c r="AY6" i="6"/>
  <c r="AX6" i="6"/>
  <c r="AW6" i="6"/>
  <c r="AV6" i="6"/>
  <c r="AU6" i="6"/>
  <c r="AS6" i="6"/>
  <c r="AT6" i="6" s="1"/>
  <c r="AQ6" i="6"/>
  <c r="AP6" i="6"/>
  <c r="AO6" i="6"/>
  <c r="AN6" i="6"/>
  <c r="AM6" i="6"/>
  <c r="AL6" i="6"/>
  <c r="BO5" i="6"/>
  <c r="BN5" i="6"/>
  <c r="BM5" i="6"/>
  <c r="BK5" i="6"/>
  <c r="BJ5" i="6"/>
  <c r="BI5" i="6"/>
  <c r="BH5" i="6"/>
  <c r="BG5" i="6"/>
  <c r="BF5" i="6"/>
  <c r="BE5" i="6"/>
  <c r="BD5" i="6"/>
  <c r="BC5" i="6"/>
  <c r="BB5" i="6"/>
  <c r="BA5" i="6"/>
  <c r="AZ5" i="6"/>
  <c r="AY5" i="6"/>
  <c r="AX5" i="6"/>
  <c r="AW5" i="6"/>
  <c r="AV5" i="6"/>
  <c r="AU5" i="6"/>
  <c r="AS5" i="6"/>
  <c r="AT5" i="6" s="1"/>
  <c r="AQ5" i="6"/>
  <c r="AN5" i="6"/>
  <c r="AM5" i="6"/>
  <c r="AL5" i="6"/>
  <c r="BO4" i="6"/>
  <c r="BN4" i="6"/>
  <c r="BM4" i="6"/>
  <c r="BK4" i="6"/>
  <c r="BJ4" i="6"/>
  <c r="BI4" i="6"/>
  <c r="BH4" i="6"/>
  <c r="BG4" i="6"/>
  <c r="BF4" i="6"/>
  <c r="BE4" i="6"/>
  <c r="BD4" i="6"/>
  <c r="BC4" i="6"/>
  <c r="BB4" i="6"/>
  <c r="BA4" i="6"/>
  <c r="AZ4" i="6"/>
  <c r="AY4" i="6"/>
  <c r="AX4" i="6"/>
  <c r="AW4" i="6"/>
  <c r="AV4" i="6"/>
  <c r="AU4" i="6"/>
  <c r="AS4" i="6"/>
  <c r="AT4" i="6" s="1"/>
  <c r="AQ4" i="6"/>
  <c r="AP4" i="6"/>
  <c r="AO4" i="6"/>
  <c r="AN4" i="6"/>
  <c r="AM4" i="6"/>
  <c r="AL4" i="6"/>
  <c r="BO3" i="6"/>
  <c r="BN3" i="6"/>
  <c r="BM3" i="6"/>
  <c r="BK3" i="6"/>
  <c r="BJ3" i="6"/>
  <c r="BI3" i="6"/>
  <c r="BH3" i="6"/>
  <c r="BG3" i="6"/>
  <c r="BF3" i="6"/>
  <c r="BE3" i="6"/>
  <c r="BD3" i="6"/>
  <c r="BC3" i="6"/>
  <c r="BB3" i="6"/>
  <c r="BA3" i="6"/>
  <c r="AZ3" i="6"/>
  <c r="AY3" i="6"/>
  <c r="AX3" i="6"/>
  <c r="AW3" i="6"/>
  <c r="AV3" i="6"/>
  <c r="AU3" i="6"/>
  <c r="AS3" i="6"/>
  <c r="AT3" i="6" s="1"/>
  <c r="AQ3" i="6"/>
  <c r="AP3" i="6"/>
  <c r="AO3" i="6"/>
  <c r="AN3" i="6"/>
  <c r="AM3" i="6"/>
  <c r="AL3" i="6"/>
  <c r="BO2" i="6"/>
  <c r="BN2" i="6"/>
  <c r="BM2" i="6"/>
  <c r="BK2" i="6"/>
  <c r="BJ2" i="6"/>
  <c r="BI2" i="6"/>
  <c r="BH2" i="6"/>
  <c r="BG2" i="6"/>
  <c r="BF2" i="6"/>
  <c r="BE2" i="6"/>
  <c r="BD2" i="6"/>
  <c r="BC2" i="6"/>
  <c r="BB2" i="6"/>
  <c r="BA2" i="6"/>
  <c r="AZ2" i="6"/>
  <c r="AY2" i="6"/>
  <c r="AX2" i="6"/>
  <c r="AW2" i="6"/>
  <c r="AV2" i="6"/>
  <c r="AU2" i="6"/>
  <c r="AS2" i="6"/>
  <c r="AT2" i="6" s="1"/>
  <c r="AQ2" i="6"/>
  <c r="AL2" i="6"/>
  <c r="BF45" i="1"/>
  <c r="BG45" i="1"/>
  <c r="AE49" i="1"/>
  <c r="AF49" i="1"/>
  <c r="AG49" i="1"/>
  <c r="AD49" i="1"/>
  <c r="AC49" i="1"/>
  <c r="AC47" i="1"/>
  <c r="AC45" i="1"/>
  <c r="AC43" i="1"/>
  <c r="Q49" i="1"/>
  <c r="P49" i="1"/>
  <c r="X49" i="1"/>
  <c r="X47" i="1"/>
  <c r="X45" i="1"/>
  <c r="X43" i="1"/>
  <c r="Q47" i="1"/>
  <c r="Q45" i="1"/>
  <c r="Q43" i="1"/>
  <c r="P47" i="1"/>
  <c r="P45" i="1"/>
  <c r="P43" i="1"/>
  <c r="BS49" i="1"/>
  <c r="BT49" i="1"/>
  <c r="BS47" i="1"/>
  <c r="BT47" i="1"/>
  <c r="BS46" i="1"/>
  <c r="BT46" i="1"/>
  <c r="BS45" i="1"/>
  <c r="BT45" i="1"/>
  <c r="BS44" i="1"/>
  <c r="BT44" i="1"/>
  <c r="BS43" i="1"/>
  <c r="BT43" i="1"/>
  <c r="BS42" i="1"/>
  <c r="BT42" i="1"/>
  <c r="AI49" i="1"/>
  <c r="AH49" i="1"/>
  <c r="AB49" i="1"/>
  <c r="AA49" i="1"/>
  <c r="Z49" i="1"/>
  <c r="Y49" i="1"/>
  <c r="W49" i="1"/>
  <c r="V49" i="1"/>
  <c r="U49" i="1"/>
  <c r="T49" i="1"/>
  <c r="S49" i="1"/>
  <c r="R49" i="1"/>
  <c r="O49" i="1"/>
  <c r="N49" i="1"/>
  <c r="M49" i="1"/>
  <c r="L49" i="1"/>
  <c r="K49" i="1"/>
  <c r="J49" i="1"/>
  <c r="I49" i="1"/>
  <c r="H49" i="1"/>
  <c r="G49" i="1"/>
  <c r="F49" i="1"/>
  <c r="AI47" i="1"/>
  <c r="AH47" i="1"/>
  <c r="AG47" i="1"/>
  <c r="AF47" i="1"/>
  <c r="AE47" i="1"/>
  <c r="AD47" i="1"/>
  <c r="AB47" i="1"/>
  <c r="AA47" i="1"/>
  <c r="Z47" i="1"/>
  <c r="Y47" i="1"/>
  <c r="W47" i="1"/>
  <c r="V47" i="1"/>
  <c r="U47" i="1"/>
  <c r="T47" i="1"/>
  <c r="S47" i="1"/>
  <c r="R47" i="1"/>
  <c r="O47" i="1"/>
  <c r="N47" i="1"/>
  <c r="M47" i="1"/>
  <c r="L47" i="1"/>
  <c r="K47" i="1"/>
  <c r="J47" i="1"/>
  <c r="I47" i="1"/>
  <c r="H47" i="1"/>
  <c r="G47" i="1"/>
  <c r="F47" i="1"/>
  <c r="AL46" i="1"/>
  <c r="AI46" i="1"/>
  <c r="AH46" i="1"/>
  <c r="AG46" i="1"/>
  <c r="AF46" i="1"/>
  <c r="AE46" i="1"/>
  <c r="AD46" i="1"/>
  <c r="AC46" i="1"/>
  <c r="AB46" i="1"/>
  <c r="AA46" i="1"/>
  <c r="Z46" i="1"/>
  <c r="Y46" i="1"/>
  <c r="X46" i="1"/>
  <c r="W46" i="1"/>
  <c r="V46" i="1"/>
  <c r="U46" i="1"/>
  <c r="T46" i="1"/>
  <c r="S46" i="1"/>
  <c r="R46" i="1"/>
  <c r="Q46" i="1"/>
  <c r="P46" i="1"/>
  <c r="O46" i="1"/>
  <c r="N46" i="1"/>
  <c r="M46" i="1"/>
  <c r="L46" i="1"/>
  <c r="K46" i="1"/>
  <c r="J46" i="1"/>
  <c r="I46" i="1"/>
  <c r="H46" i="1"/>
  <c r="G46" i="1"/>
  <c r="F46" i="1"/>
  <c r="AI45" i="1"/>
  <c r="AH45" i="1"/>
  <c r="AG45" i="1"/>
  <c r="AF45" i="1"/>
  <c r="AE45" i="1"/>
  <c r="AD45" i="1"/>
  <c r="AB45" i="1"/>
  <c r="AA45" i="1"/>
  <c r="Z45" i="1"/>
  <c r="Y45" i="1"/>
  <c r="W45" i="1"/>
  <c r="V45" i="1"/>
  <c r="U45" i="1"/>
  <c r="T45" i="1"/>
  <c r="S45" i="1"/>
  <c r="R45" i="1"/>
  <c r="O45" i="1"/>
  <c r="N45" i="1"/>
  <c r="M45" i="1"/>
  <c r="L45" i="1"/>
  <c r="K45" i="1"/>
  <c r="J45" i="1"/>
  <c r="I45" i="1"/>
  <c r="H45" i="1"/>
  <c r="G45" i="1"/>
  <c r="F45" i="1"/>
  <c r="AI44" i="1"/>
  <c r="AH44" i="1"/>
  <c r="AG44" i="1"/>
  <c r="AF44" i="1"/>
  <c r="AE44" i="1"/>
  <c r="AD44" i="1"/>
  <c r="AC44" i="1"/>
  <c r="AB44" i="1"/>
  <c r="AA44" i="1"/>
  <c r="Z44" i="1"/>
  <c r="Y44" i="1"/>
  <c r="X44" i="1"/>
  <c r="W44" i="1"/>
  <c r="V44" i="1"/>
  <c r="U44" i="1"/>
  <c r="T44" i="1"/>
  <c r="S44" i="1"/>
  <c r="R44" i="1"/>
  <c r="Q44" i="1"/>
  <c r="P44" i="1"/>
  <c r="O44" i="1"/>
  <c r="N44" i="1"/>
  <c r="M44" i="1"/>
  <c r="L44" i="1"/>
  <c r="K44" i="1"/>
  <c r="J44" i="1"/>
  <c r="I44" i="1"/>
  <c r="H44" i="1"/>
  <c r="G44" i="1"/>
  <c r="F44" i="1"/>
  <c r="AL43" i="1"/>
  <c r="AK43" i="1"/>
  <c r="AI43" i="1"/>
  <c r="AH43" i="1"/>
  <c r="AG43" i="1"/>
  <c r="AF43" i="1"/>
  <c r="AE43" i="1"/>
  <c r="AD43" i="1"/>
  <c r="AB43" i="1"/>
  <c r="AA43" i="1"/>
  <c r="Z43" i="1"/>
  <c r="Y43" i="1"/>
  <c r="W43" i="1"/>
  <c r="V43" i="1"/>
  <c r="U43" i="1"/>
  <c r="T43" i="1"/>
  <c r="S43" i="1"/>
  <c r="R43" i="1"/>
  <c r="O43" i="1"/>
  <c r="N43" i="1"/>
  <c r="M43" i="1"/>
  <c r="L43" i="1"/>
  <c r="K43" i="1"/>
  <c r="J43" i="1"/>
  <c r="I43" i="1"/>
  <c r="H43" i="1"/>
  <c r="G43" i="1"/>
  <c r="F43" i="1"/>
  <c r="AL42" i="1"/>
  <c r="AK42" i="1"/>
  <c r="AI42" i="1"/>
  <c r="AH42" i="1"/>
  <c r="AG42" i="1"/>
  <c r="AF42" i="1"/>
  <c r="AE42" i="1"/>
  <c r="AE48" i="1" s="1"/>
  <c r="AD42" i="1"/>
  <c r="AC42" i="1"/>
  <c r="AB42" i="1"/>
  <c r="AA42" i="1"/>
  <c r="Z42" i="1"/>
  <c r="Y42" i="1"/>
  <c r="X42" i="1"/>
  <c r="W42" i="1"/>
  <c r="V42" i="1"/>
  <c r="U42" i="1"/>
  <c r="T42" i="1"/>
  <c r="S42" i="1"/>
  <c r="S48" i="1" s="1"/>
  <c r="R42" i="1"/>
  <c r="Q42" i="1"/>
  <c r="P42" i="1"/>
  <c r="O42" i="1"/>
  <c r="N42" i="1"/>
  <c r="M42" i="1"/>
  <c r="L42" i="1"/>
  <c r="K42" i="1"/>
  <c r="J42" i="1"/>
  <c r="I42" i="1"/>
  <c r="H42" i="1"/>
  <c r="G42" i="1"/>
  <c r="G48" i="1" s="1"/>
  <c r="F42" i="1"/>
  <c r="BR41" i="1"/>
  <c r="BQ41" i="1"/>
  <c r="BP41" i="1"/>
  <c r="BN41" i="1"/>
  <c r="BM41" i="1"/>
  <c r="BL41" i="1"/>
  <c r="BK41" i="1"/>
  <c r="BJ41" i="1"/>
  <c r="BI41" i="1"/>
  <c r="BH41" i="1"/>
  <c r="BG41" i="1"/>
  <c r="BF41" i="1"/>
  <c r="BE41" i="1"/>
  <c r="BD41" i="1"/>
  <c r="BC41" i="1"/>
  <c r="BB41" i="1"/>
  <c r="BA41" i="1"/>
  <c r="AZ41" i="1"/>
  <c r="AY41" i="1"/>
  <c r="AX41" i="1"/>
  <c r="AV41" i="1"/>
  <c r="AW41" i="1" s="1"/>
  <c r="AT41" i="1"/>
  <c r="AU41" i="1" s="1"/>
  <c r="AS41" i="1"/>
  <c r="AR41" i="1"/>
  <c r="AQ41" i="1"/>
  <c r="AP41" i="1"/>
  <c r="AO41" i="1"/>
  <c r="BR40" i="1"/>
  <c r="BQ40" i="1"/>
  <c r="BP40" i="1"/>
  <c r="BN40" i="1"/>
  <c r="BM40" i="1"/>
  <c r="BL40" i="1"/>
  <c r="BK40" i="1"/>
  <c r="BJ40" i="1"/>
  <c r="BI40" i="1"/>
  <c r="BH40" i="1"/>
  <c r="BG40" i="1"/>
  <c r="BF40" i="1"/>
  <c r="BE40" i="1"/>
  <c r="BD40" i="1"/>
  <c r="BC40" i="1"/>
  <c r="BB40" i="1"/>
  <c r="BA40" i="1"/>
  <c r="AZ40" i="1"/>
  <c r="AY40" i="1"/>
  <c r="AX40" i="1"/>
  <c r="AV40" i="1"/>
  <c r="AW40" i="1" s="1"/>
  <c r="AT40" i="1"/>
  <c r="AS40" i="1"/>
  <c r="AR40" i="1"/>
  <c r="AQ40" i="1"/>
  <c r="AP40" i="1"/>
  <c r="AO40" i="1"/>
  <c r="AU40" i="1" s="1"/>
  <c r="BR39" i="1"/>
  <c r="BQ39" i="1"/>
  <c r="BP39" i="1"/>
  <c r="BN39" i="1"/>
  <c r="BM39" i="1"/>
  <c r="BL39" i="1"/>
  <c r="BK39" i="1"/>
  <c r="BJ39" i="1"/>
  <c r="BI39" i="1"/>
  <c r="BH39" i="1"/>
  <c r="BG39" i="1"/>
  <c r="BF39" i="1"/>
  <c r="BE39" i="1"/>
  <c r="BD39" i="1"/>
  <c r="BC39" i="1"/>
  <c r="BB39" i="1"/>
  <c r="BA39" i="1"/>
  <c r="AZ39" i="1"/>
  <c r="AY39" i="1"/>
  <c r="AX39" i="1"/>
  <c r="AV39" i="1"/>
  <c r="AW39" i="1" s="1"/>
  <c r="AT39" i="1"/>
  <c r="AS39" i="1"/>
  <c r="AR39" i="1"/>
  <c r="AQ39" i="1"/>
  <c r="AP39" i="1"/>
  <c r="AO39" i="1"/>
  <c r="BR38" i="1"/>
  <c r="BQ38" i="1"/>
  <c r="BP38" i="1"/>
  <c r="BN38" i="1"/>
  <c r="BM38" i="1"/>
  <c r="BL38" i="1"/>
  <c r="BK38" i="1"/>
  <c r="BJ38" i="1"/>
  <c r="BI38" i="1"/>
  <c r="BH38" i="1"/>
  <c r="BG38" i="1"/>
  <c r="BF38" i="1"/>
  <c r="BE38" i="1"/>
  <c r="BD38" i="1"/>
  <c r="BC38" i="1"/>
  <c r="BB38" i="1"/>
  <c r="BA38" i="1"/>
  <c r="AZ38" i="1"/>
  <c r="AY38" i="1"/>
  <c r="AT38" i="1"/>
  <c r="AU38" i="1" s="1"/>
  <c r="AS38" i="1"/>
  <c r="AR38" i="1"/>
  <c r="AQ38" i="1"/>
  <c r="AP38" i="1"/>
  <c r="AO38" i="1"/>
  <c r="AL38" i="1"/>
  <c r="AL47" i="1" s="1"/>
  <c r="AK38" i="1"/>
  <c r="AK46" i="1" s="1"/>
  <c r="BR37" i="1"/>
  <c r="BQ37" i="1"/>
  <c r="BP37" i="1"/>
  <c r="BN37" i="1"/>
  <c r="BM37" i="1"/>
  <c r="BL37" i="1"/>
  <c r="BK37" i="1"/>
  <c r="BJ37" i="1"/>
  <c r="BI37" i="1"/>
  <c r="BH37" i="1"/>
  <c r="BG37" i="1"/>
  <c r="BF37" i="1"/>
  <c r="BE37" i="1"/>
  <c r="BD37" i="1"/>
  <c r="BC37" i="1"/>
  <c r="BB37" i="1"/>
  <c r="BA37" i="1"/>
  <c r="AZ37" i="1"/>
  <c r="AY37" i="1"/>
  <c r="AX37" i="1"/>
  <c r="AV37" i="1"/>
  <c r="AW37" i="1" s="1"/>
  <c r="AT37" i="1"/>
  <c r="AS37" i="1"/>
  <c r="AR37" i="1"/>
  <c r="AQ37" i="1"/>
  <c r="AO37" i="1"/>
  <c r="BR36" i="1"/>
  <c r="BQ36" i="1"/>
  <c r="BP36" i="1"/>
  <c r="BN36" i="1"/>
  <c r="BM36" i="1"/>
  <c r="BL36" i="1"/>
  <c r="BK36" i="1"/>
  <c r="BJ36" i="1"/>
  <c r="BI36" i="1"/>
  <c r="BH36" i="1"/>
  <c r="BG36" i="1"/>
  <c r="BF36" i="1"/>
  <c r="BE36" i="1"/>
  <c r="BD36" i="1"/>
  <c r="BC36" i="1"/>
  <c r="BB36" i="1"/>
  <c r="BA36" i="1"/>
  <c r="AZ36" i="1"/>
  <c r="AY36" i="1"/>
  <c r="AX36" i="1"/>
  <c r="AV36" i="1"/>
  <c r="AW36" i="1" s="1"/>
  <c r="AT36" i="1"/>
  <c r="AS36" i="1"/>
  <c r="AR36" i="1"/>
  <c r="AQ36" i="1"/>
  <c r="AP36" i="1"/>
  <c r="AO36" i="1"/>
  <c r="BR35" i="1"/>
  <c r="BQ35" i="1"/>
  <c r="BP35" i="1"/>
  <c r="BN35" i="1"/>
  <c r="BM35" i="1"/>
  <c r="BL35" i="1"/>
  <c r="BK35" i="1"/>
  <c r="BJ35" i="1"/>
  <c r="BI35" i="1"/>
  <c r="BH35" i="1"/>
  <c r="BG35" i="1"/>
  <c r="BF35" i="1"/>
  <c r="BE35" i="1"/>
  <c r="BD35" i="1"/>
  <c r="BC35" i="1"/>
  <c r="BB35" i="1"/>
  <c r="BA35" i="1"/>
  <c r="AZ35" i="1"/>
  <c r="AY35" i="1"/>
  <c r="AX35" i="1"/>
  <c r="AV35" i="1"/>
  <c r="AW35" i="1" s="1"/>
  <c r="AT35" i="1"/>
  <c r="AS35" i="1"/>
  <c r="AR35" i="1"/>
  <c r="AQ35" i="1"/>
  <c r="AP35" i="1"/>
  <c r="AO35" i="1"/>
  <c r="BR34" i="1"/>
  <c r="BQ34" i="1"/>
  <c r="BP34" i="1"/>
  <c r="BN34" i="1"/>
  <c r="BM34" i="1"/>
  <c r="BL34" i="1"/>
  <c r="BK34" i="1"/>
  <c r="BJ34" i="1"/>
  <c r="BI34" i="1"/>
  <c r="BH34" i="1"/>
  <c r="BG34" i="1"/>
  <c r="BF34" i="1"/>
  <c r="BF47" i="1" s="1"/>
  <c r="BE34" i="1"/>
  <c r="BE47" i="1" s="1"/>
  <c r="BD34" i="1"/>
  <c r="BC34" i="1"/>
  <c r="BB34" i="1"/>
  <c r="BA34" i="1"/>
  <c r="AZ34" i="1"/>
  <c r="AY34" i="1"/>
  <c r="AX34" i="1"/>
  <c r="AV34" i="1"/>
  <c r="AW34" i="1" s="1"/>
  <c r="AT34" i="1"/>
  <c r="AS34" i="1"/>
  <c r="AR34" i="1"/>
  <c r="AQ34" i="1"/>
  <c r="AP34" i="1"/>
  <c r="AO34" i="1"/>
  <c r="BR33" i="1"/>
  <c r="BR44" i="1" s="1"/>
  <c r="BQ33" i="1"/>
  <c r="BP33" i="1"/>
  <c r="BN33" i="1"/>
  <c r="BM33" i="1"/>
  <c r="BL33" i="1"/>
  <c r="BK33" i="1"/>
  <c r="BJ33" i="1"/>
  <c r="BI33" i="1"/>
  <c r="BH33" i="1"/>
  <c r="BG33" i="1"/>
  <c r="BF33" i="1"/>
  <c r="BE33" i="1"/>
  <c r="BD33" i="1"/>
  <c r="BC33" i="1"/>
  <c r="BB33" i="1"/>
  <c r="BA33" i="1"/>
  <c r="AZ33" i="1"/>
  <c r="AY33" i="1"/>
  <c r="AT33" i="1"/>
  <c r="AS33" i="1"/>
  <c r="AR33" i="1"/>
  <c r="AQ33" i="1"/>
  <c r="AP33" i="1"/>
  <c r="AO33" i="1"/>
  <c r="AL33" i="1"/>
  <c r="AL45" i="1" s="1"/>
  <c r="AK33" i="1"/>
  <c r="AX33" i="1" s="1"/>
  <c r="BR32" i="1"/>
  <c r="BQ32" i="1"/>
  <c r="BQ44" i="1" s="1"/>
  <c r="BP32" i="1"/>
  <c r="BN32" i="1"/>
  <c r="BN45" i="1" s="1"/>
  <c r="BM32" i="1"/>
  <c r="BM45" i="1" s="1"/>
  <c r="BL32" i="1"/>
  <c r="BL45" i="1" s="1"/>
  <c r="BK32" i="1"/>
  <c r="BK45" i="1" s="1"/>
  <c r="BJ32" i="1"/>
  <c r="BI32" i="1"/>
  <c r="BH32" i="1"/>
  <c r="BG32" i="1"/>
  <c r="BG44" i="1" s="1"/>
  <c r="BF32" i="1"/>
  <c r="BE32" i="1"/>
  <c r="BD32" i="1"/>
  <c r="BD45" i="1" s="1"/>
  <c r="BC32" i="1"/>
  <c r="BB32" i="1"/>
  <c r="BB45" i="1" s="1"/>
  <c r="BA32" i="1"/>
  <c r="BA45" i="1" s="1"/>
  <c r="AZ32" i="1"/>
  <c r="AZ45" i="1" s="1"/>
  <c r="AY32" i="1"/>
  <c r="AY45" i="1" s="1"/>
  <c r="AX32" i="1"/>
  <c r="AV32" i="1"/>
  <c r="AT32" i="1"/>
  <c r="AS32" i="1"/>
  <c r="AR32" i="1"/>
  <c r="AQ32" i="1"/>
  <c r="AQ44" i="1" s="1"/>
  <c r="AP32" i="1"/>
  <c r="AO32" i="1"/>
  <c r="AU32" i="1" s="1"/>
  <c r="BR31" i="1"/>
  <c r="BQ31" i="1"/>
  <c r="BP31" i="1"/>
  <c r="BN31" i="1"/>
  <c r="BM31" i="1"/>
  <c r="BL31" i="1"/>
  <c r="BK31" i="1"/>
  <c r="BJ31" i="1"/>
  <c r="BI31" i="1"/>
  <c r="BH31" i="1"/>
  <c r="BG31" i="1"/>
  <c r="BF31" i="1"/>
  <c r="BE31" i="1"/>
  <c r="BD31" i="1"/>
  <c r="BC31" i="1"/>
  <c r="BB31" i="1"/>
  <c r="BA31" i="1"/>
  <c r="AZ31" i="1"/>
  <c r="AY31" i="1"/>
  <c r="AX31" i="1"/>
  <c r="AV31" i="1"/>
  <c r="AW31" i="1" s="1"/>
  <c r="AT31" i="1"/>
  <c r="AS31" i="1"/>
  <c r="AR31" i="1"/>
  <c r="AQ31" i="1"/>
  <c r="AP31" i="1"/>
  <c r="AO31" i="1"/>
  <c r="BR30" i="1"/>
  <c r="BQ30" i="1"/>
  <c r="BP30" i="1"/>
  <c r="BN30" i="1"/>
  <c r="BM30" i="1"/>
  <c r="BL30" i="1"/>
  <c r="BK30" i="1"/>
  <c r="BJ30" i="1"/>
  <c r="BI30" i="1"/>
  <c r="BH30" i="1"/>
  <c r="BG30" i="1"/>
  <c r="BF30" i="1"/>
  <c r="BE30" i="1"/>
  <c r="BD30" i="1"/>
  <c r="BC30" i="1"/>
  <c r="BB30" i="1"/>
  <c r="BA30" i="1"/>
  <c r="AZ30" i="1"/>
  <c r="AY30" i="1"/>
  <c r="AV30" i="1"/>
  <c r="AW30" i="1" s="1"/>
  <c r="AT30" i="1"/>
  <c r="AU30" i="1" s="1"/>
  <c r="AQ30" i="1"/>
  <c r="AP30" i="1"/>
  <c r="AO30" i="1"/>
  <c r="BR29" i="1"/>
  <c r="BQ29" i="1"/>
  <c r="BP29" i="1"/>
  <c r="BN29" i="1"/>
  <c r="BM29" i="1"/>
  <c r="BL29" i="1"/>
  <c r="BK29" i="1"/>
  <c r="BJ29" i="1"/>
  <c r="BI29" i="1"/>
  <c r="BH29" i="1"/>
  <c r="BG29" i="1"/>
  <c r="BF29" i="1"/>
  <c r="BE29" i="1"/>
  <c r="BD29" i="1"/>
  <c r="BC29" i="1"/>
  <c r="BB29" i="1"/>
  <c r="BA29" i="1"/>
  <c r="AZ29" i="1"/>
  <c r="AY29" i="1"/>
  <c r="AX29" i="1"/>
  <c r="AV29" i="1"/>
  <c r="AW29" i="1" s="1"/>
  <c r="AT29" i="1"/>
  <c r="AU29" i="1" s="1"/>
  <c r="AS29" i="1"/>
  <c r="AR29" i="1"/>
  <c r="AQ29" i="1"/>
  <c r="AP29" i="1"/>
  <c r="AO29" i="1"/>
  <c r="BR28" i="1"/>
  <c r="BQ28" i="1"/>
  <c r="BP28" i="1"/>
  <c r="BN28" i="1"/>
  <c r="BM28" i="1"/>
  <c r="BL28" i="1"/>
  <c r="BK28" i="1"/>
  <c r="BJ28" i="1"/>
  <c r="BI28" i="1"/>
  <c r="BH28" i="1"/>
  <c r="BG28" i="1"/>
  <c r="BF28" i="1"/>
  <c r="BE28" i="1"/>
  <c r="BD28" i="1"/>
  <c r="BC28" i="1"/>
  <c r="BB28" i="1"/>
  <c r="BA28" i="1"/>
  <c r="AZ28" i="1"/>
  <c r="AY28" i="1"/>
  <c r="AX28" i="1"/>
  <c r="AV28" i="1"/>
  <c r="AW28" i="1" s="1"/>
  <c r="AT28" i="1"/>
  <c r="AS28" i="1"/>
  <c r="AR28" i="1"/>
  <c r="AQ28" i="1"/>
  <c r="AP28" i="1"/>
  <c r="AO28" i="1"/>
  <c r="BR27" i="1"/>
  <c r="BQ27" i="1"/>
  <c r="BP27" i="1"/>
  <c r="BN27" i="1"/>
  <c r="BM27" i="1"/>
  <c r="BL27" i="1"/>
  <c r="BK27" i="1"/>
  <c r="BJ27" i="1"/>
  <c r="BI27" i="1"/>
  <c r="BH27" i="1"/>
  <c r="BG27" i="1"/>
  <c r="BF27" i="1"/>
  <c r="BE27" i="1"/>
  <c r="BD27" i="1"/>
  <c r="BC27" i="1"/>
  <c r="BB27" i="1"/>
  <c r="BA27" i="1"/>
  <c r="AZ27" i="1"/>
  <c r="AY27" i="1"/>
  <c r="BO27" i="1" s="1"/>
  <c r="AX27" i="1"/>
  <c r="AV27" i="1"/>
  <c r="AW27" i="1" s="1"/>
  <c r="AT27" i="1"/>
  <c r="AS27" i="1"/>
  <c r="AR27" i="1"/>
  <c r="AQ27" i="1"/>
  <c r="AP27" i="1"/>
  <c r="AO27" i="1"/>
  <c r="BR26" i="1"/>
  <c r="BQ26" i="1"/>
  <c r="BP26" i="1"/>
  <c r="BN26" i="1"/>
  <c r="BM26" i="1"/>
  <c r="BL26" i="1"/>
  <c r="BK26" i="1"/>
  <c r="BJ26" i="1"/>
  <c r="BI26" i="1"/>
  <c r="BH26" i="1"/>
  <c r="BG26" i="1"/>
  <c r="BF26" i="1"/>
  <c r="BE26" i="1"/>
  <c r="BD26" i="1"/>
  <c r="BC26" i="1"/>
  <c r="BB26" i="1"/>
  <c r="BA26" i="1"/>
  <c r="AZ26" i="1"/>
  <c r="AY26" i="1"/>
  <c r="AX26" i="1"/>
  <c r="AV26" i="1"/>
  <c r="AW26" i="1" s="1"/>
  <c r="AT26" i="1"/>
  <c r="AU26" i="1" s="1"/>
  <c r="AS26" i="1"/>
  <c r="AR26" i="1"/>
  <c r="AQ26" i="1"/>
  <c r="AP26" i="1"/>
  <c r="AO26" i="1"/>
  <c r="BR25" i="1"/>
  <c r="BQ25" i="1"/>
  <c r="BP25" i="1"/>
  <c r="BN25" i="1"/>
  <c r="BM25" i="1"/>
  <c r="BL25" i="1"/>
  <c r="BK25" i="1"/>
  <c r="BJ25" i="1"/>
  <c r="BI25" i="1"/>
  <c r="BH25" i="1"/>
  <c r="BG25" i="1"/>
  <c r="BF25" i="1"/>
  <c r="BE25" i="1"/>
  <c r="BD25" i="1"/>
  <c r="BC25" i="1"/>
  <c r="BB25" i="1"/>
  <c r="BA25" i="1"/>
  <c r="AZ25" i="1"/>
  <c r="AY25" i="1"/>
  <c r="AV25" i="1"/>
  <c r="AW25" i="1" s="1"/>
  <c r="AT25" i="1"/>
  <c r="AQ25" i="1"/>
  <c r="AP25" i="1"/>
  <c r="AO25" i="1"/>
  <c r="BR24" i="1"/>
  <c r="BQ24" i="1"/>
  <c r="BP24" i="1"/>
  <c r="BN24" i="1"/>
  <c r="BM24" i="1"/>
  <c r="BL24" i="1"/>
  <c r="BK24" i="1"/>
  <c r="BJ24" i="1"/>
  <c r="BI24" i="1"/>
  <c r="BH24" i="1"/>
  <c r="BG24" i="1"/>
  <c r="BF24" i="1"/>
  <c r="BE24" i="1"/>
  <c r="BD24" i="1"/>
  <c r="BC24" i="1"/>
  <c r="BB24" i="1"/>
  <c r="BA24" i="1"/>
  <c r="AZ24" i="1"/>
  <c r="AY24" i="1"/>
  <c r="AX24" i="1"/>
  <c r="AW24" i="1"/>
  <c r="AV24" i="1"/>
  <c r="AT24" i="1"/>
  <c r="AS24" i="1"/>
  <c r="AR24" i="1"/>
  <c r="AQ24" i="1"/>
  <c r="AP24" i="1"/>
  <c r="AO24" i="1"/>
  <c r="BR23" i="1"/>
  <c r="BQ23" i="1"/>
  <c r="BP23" i="1"/>
  <c r="BN23" i="1"/>
  <c r="BM23" i="1"/>
  <c r="BL23" i="1"/>
  <c r="BK23" i="1"/>
  <c r="BJ23" i="1"/>
  <c r="BI23" i="1"/>
  <c r="BH23" i="1"/>
  <c r="BG23" i="1"/>
  <c r="BF23" i="1"/>
  <c r="BE23" i="1"/>
  <c r="BD23" i="1"/>
  <c r="BC23" i="1"/>
  <c r="BB23" i="1"/>
  <c r="BA23" i="1"/>
  <c r="AZ23" i="1"/>
  <c r="AY23" i="1"/>
  <c r="AX23" i="1"/>
  <c r="AV23" i="1"/>
  <c r="AW23" i="1" s="1"/>
  <c r="AT23" i="1"/>
  <c r="AS23" i="1"/>
  <c r="AR23" i="1"/>
  <c r="AQ23" i="1"/>
  <c r="AP23" i="1"/>
  <c r="AO23" i="1"/>
  <c r="BR22" i="1"/>
  <c r="BQ22" i="1"/>
  <c r="BP22" i="1"/>
  <c r="BN22" i="1"/>
  <c r="BM22" i="1"/>
  <c r="BL22" i="1"/>
  <c r="BK22" i="1"/>
  <c r="BJ22" i="1"/>
  <c r="BI22" i="1"/>
  <c r="BH22" i="1"/>
  <c r="BG22" i="1"/>
  <c r="BF22" i="1"/>
  <c r="BE22" i="1"/>
  <c r="BD22" i="1"/>
  <c r="BC22" i="1"/>
  <c r="BB22" i="1"/>
  <c r="BA22" i="1"/>
  <c r="AZ22" i="1"/>
  <c r="AY22" i="1"/>
  <c r="AX22" i="1"/>
  <c r="AV22" i="1"/>
  <c r="AW22" i="1" s="1"/>
  <c r="AT22" i="1"/>
  <c r="AU22" i="1" s="1"/>
  <c r="AS22" i="1"/>
  <c r="AR22" i="1"/>
  <c r="AQ22" i="1"/>
  <c r="AP22" i="1"/>
  <c r="AO22" i="1"/>
  <c r="BR21" i="1"/>
  <c r="BQ21" i="1"/>
  <c r="BP21" i="1"/>
  <c r="BN21" i="1"/>
  <c r="BM21" i="1"/>
  <c r="BL21" i="1"/>
  <c r="BK21" i="1"/>
  <c r="BJ21" i="1"/>
  <c r="BI21" i="1"/>
  <c r="BH21" i="1"/>
  <c r="BG21" i="1"/>
  <c r="BF21" i="1"/>
  <c r="BE21" i="1"/>
  <c r="BD21" i="1"/>
  <c r="BC21" i="1"/>
  <c r="BB21" i="1"/>
  <c r="BA21" i="1"/>
  <c r="AZ21" i="1"/>
  <c r="AY21" i="1"/>
  <c r="AX21" i="1"/>
  <c r="AV21" i="1"/>
  <c r="AW21" i="1" s="1"/>
  <c r="AT21" i="1"/>
  <c r="AS21" i="1"/>
  <c r="AR21" i="1"/>
  <c r="AQ21" i="1"/>
  <c r="AP21" i="1"/>
  <c r="AO21" i="1"/>
  <c r="BR20" i="1"/>
  <c r="BQ20" i="1"/>
  <c r="BP20" i="1"/>
  <c r="BN20" i="1"/>
  <c r="BM20" i="1"/>
  <c r="BL20" i="1"/>
  <c r="BK20" i="1"/>
  <c r="BJ20" i="1"/>
  <c r="BI20" i="1"/>
  <c r="BH20" i="1"/>
  <c r="BG20" i="1"/>
  <c r="BF20" i="1"/>
  <c r="BE20" i="1"/>
  <c r="BD20" i="1"/>
  <c r="BC20" i="1"/>
  <c r="BB20" i="1"/>
  <c r="BA20" i="1"/>
  <c r="AZ20" i="1"/>
  <c r="AY20" i="1"/>
  <c r="BO20" i="1" s="1"/>
  <c r="AX20" i="1"/>
  <c r="AV20" i="1"/>
  <c r="AW20" i="1" s="1"/>
  <c r="AT20" i="1"/>
  <c r="AS20" i="1"/>
  <c r="AR20" i="1"/>
  <c r="AQ20" i="1"/>
  <c r="AP20" i="1"/>
  <c r="AO20" i="1"/>
  <c r="BR19" i="1"/>
  <c r="BQ19" i="1"/>
  <c r="BP19" i="1"/>
  <c r="BN19" i="1"/>
  <c r="BM19" i="1"/>
  <c r="BL19" i="1"/>
  <c r="BK19" i="1"/>
  <c r="BJ19" i="1"/>
  <c r="BI19" i="1"/>
  <c r="BH19" i="1"/>
  <c r="BG19" i="1"/>
  <c r="BF19" i="1"/>
  <c r="BE19" i="1"/>
  <c r="BD19" i="1"/>
  <c r="BC19" i="1"/>
  <c r="BB19" i="1"/>
  <c r="BA19" i="1"/>
  <c r="AZ19" i="1"/>
  <c r="AY19" i="1"/>
  <c r="AX19" i="1"/>
  <c r="AV19" i="1"/>
  <c r="AW19" i="1" s="1"/>
  <c r="AT19" i="1"/>
  <c r="AS19" i="1"/>
  <c r="AR19" i="1"/>
  <c r="AQ19" i="1"/>
  <c r="AP19" i="1"/>
  <c r="AO19" i="1"/>
  <c r="BR18" i="1"/>
  <c r="BQ18" i="1"/>
  <c r="BP18" i="1"/>
  <c r="BN18" i="1"/>
  <c r="BM18" i="1"/>
  <c r="BL18" i="1"/>
  <c r="BK18" i="1"/>
  <c r="BJ18" i="1"/>
  <c r="BI18" i="1"/>
  <c r="BH18" i="1"/>
  <c r="BG18" i="1"/>
  <c r="BF18" i="1"/>
  <c r="BE18" i="1"/>
  <c r="BD18" i="1"/>
  <c r="BC18" i="1"/>
  <c r="BB18" i="1"/>
  <c r="BA18" i="1"/>
  <c r="AZ18" i="1"/>
  <c r="AY18" i="1"/>
  <c r="AX18" i="1"/>
  <c r="AV18" i="1"/>
  <c r="AW18" i="1" s="1"/>
  <c r="AT18" i="1"/>
  <c r="AS18" i="1"/>
  <c r="AR18" i="1"/>
  <c r="AQ18" i="1"/>
  <c r="AP18" i="1"/>
  <c r="AO18" i="1"/>
  <c r="BR17" i="1"/>
  <c r="BQ17" i="1"/>
  <c r="BP17" i="1"/>
  <c r="BN17" i="1"/>
  <c r="BM17" i="1"/>
  <c r="BL17" i="1"/>
  <c r="BK17" i="1"/>
  <c r="BJ17" i="1"/>
  <c r="BI17" i="1"/>
  <c r="BH17" i="1"/>
  <c r="BG17" i="1"/>
  <c r="BF17" i="1"/>
  <c r="BE17" i="1"/>
  <c r="BD17" i="1"/>
  <c r="BC17" i="1"/>
  <c r="BB17" i="1"/>
  <c r="BA17" i="1"/>
  <c r="AZ17" i="1"/>
  <c r="AY17" i="1"/>
  <c r="AX17" i="1"/>
  <c r="AV17" i="1"/>
  <c r="AW17" i="1" s="1"/>
  <c r="AT17" i="1"/>
  <c r="AQ17" i="1"/>
  <c r="AP17" i="1"/>
  <c r="AO17" i="1"/>
  <c r="AU17" i="1" s="1"/>
  <c r="BR16" i="1"/>
  <c r="BQ16" i="1"/>
  <c r="BP16" i="1"/>
  <c r="BN16" i="1"/>
  <c r="BM16" i="1"/>
  <c r="BL16" i="1"/>
  <c r="BK16" i="1"/>
  <c r="BJ16" i="1"/>
  <c r="BI16" i="1"/>
  <c r="BH16" i="1"/>
  <c r="BG16" i="1"/>
  <c r="BF16" i="1"/>
  <c r="BE16" i="1"/>
  <c r="BD16" i="1"/>
  <c r="BC16" i="1"/>
  <c r="BB16" i="1"/>
  <c r="BA16" i="1"/>
  <c r="AZ16" i="1"/>
  <c r="AY16" i="1"/>
  <c r="AW16" i="1"/>
  <c r="AV16" i="1"/>
  <c r="AT16" i="1"/>
  <c r="AU16" i="1" s="1"/>
  <c r="AQ16" i="1"/>
  <c r="AP16" i="1"/>
  <c r="AO16" i="1"/>
  <c r="BR15" i="1"/>
  <c r="BQ15" i="1"/>
  <c r="BP15" i="1"/>
  <c r="BN15" i="1"/>
  <c r="BM15" i="1"/>
  <c r="BL15" i="1"/>
  <c r="BK15" i="1"/>
  <c r="BJ15" i="1"/>
  <c r="BI15" i="1"/>
  <c r="BH15" i="1"/>
  <c r="BG15" i="1"/>
  <c r="BF15" i="1"/>
  <c r="BE15" i="1"/>
  <c r="BD15" i="1"/>
  <c r="BC15" i="1"/>
  <c r="BB15" i="1"/>
  <c r="BA15" i="1"/>
  <c r="AZ15" i="1"/>
  <c r="AY15" i="1"/>
  <c r="BO15" i="1" s="1"/>
  <c r="AX15" i="1"/>
  <c r="AV15" i="1"/>
  <c r="AW15" i="1" s="1"/>
  <c r="AT15" i="1"/>
  <c r="AU15" i="1" s="1"/>
  <c r="AQ15" i="1"/>
  <c r="AP15" i="1"/>
  <c r="AO15" i="1"/>
  <c r="BR14" i="1"/>
  <c r="BQ14" i="1"/>
  <c r="BP14" i="1"/>
  <c r="BN14" i="1"/>
  <c r="BM14" i="1"/>
  <c r="BL14" i="1"/>
  <c r="BK14" i="1"/>
  <c r="BJ14" i="1"/>
  <c r="BI14" i="1"/>
  <c r="BH14" i="1"/>
  <c r="BG14" i="1"/>
  <c r="BF14" i="1"/>
  <c r="BE14" i="1"/>
  <c r="BD14" i="1"/>
  <c r="BC14" i="1"/>
  <c r="BB14" i="1"/>
  <c r="BA14" i="1"/>
  <c r="AZ14" i="1"/>
  <c r="AY14" i="1"/>
  <c r="AX14" i="1"/>
  <c r="AW14" i="1"/>
  <c r="AV14" i="1"/>
  <c r="AT14" i="1"/>
  <c r="AS14" i="1"/>
  <c r="AR14" i="1"/>
  <c r="AQ14" i="1"/>
  <c r="AP14" i="1"/>
  <c r="AO14" i="1"/>
  <c r="AU14" i="1" s="1"/>
  <c r="BR13" i="1"/>
  <c r="BQ13" i="1"/>
  <c r="BP13" i="1"/>
  <c r="BN13" i="1"/>
  <c r="BM13" i="1"/>
  <c r="BL13" i="1"/>
  <c r="BK13" i="1"/>
  <c r="BJ13" i="1"/>
  <c r="BI13" i="1"/>
  <c r="BH13" i="1"/>
  <c r="BG13" i="1"/>
  <c r="BF13" i="1"/>
  <c r="BE13" i="1"/>
  <c r="BD13" i="1"/>
  <c r="BC13" i="1"/>
  <c r="BB13" i="1"/>
  <c r="BA13" i="1"/>
  <c r="AZ13" i="1"/>
  <c r="AY13" i="1"/>
  <c r="AX13" i="1"/>
  <c r="AV13" i="1"/>
  <c r="AW13" i="1" s="1"/>
  <c r="AT13" i="1"/>
  <c r="AS13" i="1"/>
  <c r="AR13" i="1"/>
  <c r="AQ13" i="1"/>
  <c r="AP13" i="1"/>
  <c r="AO13" i="1"/>
  <c r="BR12" i="1"/>
  <c r="BQ12" i="1"/>
  <c r="BP12" i="1"/>
  <c r="BN12" i="1"/>
  <c r="BM12" i="1"/>
  <c r="BL12" i="1"/>
  <c r="BK12" i="1"/>
  <c r="BJ12" i="1"/>
  <c r="BI12" i="1"/>
  <c r="BH12" i="1"/>
  <c r="BG12" i="1"/>
  <c r="BF12" i="1"/>
  <c r="BE12" i="1"/>
  <c r="BD12" i="1"/>
  <c r="BC12" i="1"/>
  <c r="BB12" i="1"/>
  <c r="BA12" i="1"/>
  <c r="AZ12" i="1"/>
  <c r="AY12" i="1"/>
  <c r="AX12" i="1"/>
  <c r="AV12" i="1"/>
  <c r="AW12" i="1" s="1"/>
  <c r="AT12" i="1"/>
  <c r="AU12" i="1" s="1"/>
  <c r="AS12" i="1"/>
  <c r="AR12" i="1"/>
  <c r="AQ12" i="1"/>
  <c r="AP12" i="1"/>
  <c r="AO12" i="1"/>
  <c r="BR11" i="1"/>
  <c r="BQ11" i="1"/>
  <c r="BP11" i="1"/>
  <c r="BN11" i="1"/>
  <c r="BM11" i="1"/>
  <c r="BL11" i="1"/>
  <c r="BK11" i="1"/>
  <c r="BJ11" i="1"/>
  <c r="BI11" i="1"/>
  <c r="BH11" i="1"/>
  <c r="BG11" i="1"/>
  <c r="BF11" i="1"/>
  <c r="BE11" i="1"/>
  <c r="BD11" i="1"/>
  <c r="BC11" i="1"/>
  <c r="BB11" i="1"/>
  <c r="BA11" i="1"/>
  <c r="AZ11" i="1"/>
  <c r="AY11" i="1"/>
  <c r="AX11" i="1"/>
  <c r="AV11" i="1"/>
  <c r="AW11" i="1" s="1"/>
  <c r="AT11" i="1"/>
  <c r="AS11" i="1"/>
  <c r="AR11" i="1"/>
  <c r="AQ11" i="1"/>
  <c r="AP11" i="1"/>
  <c r="AO11" i="1"/>
  <c r="BR10" i="1"/>
  <c r="BQ10" i="1"/>
  <c r="BP10" i="1"/>
  <c r="BN10" i="1"/>
  <c r="BM10" i="1"/>
  <c r="BL10" i="1"/>
  <c r="BK10" i="1"/>
  <c r="BJ10" i="1"/>
  <c r="BI10" i="1"/>
  <c r="BH10" i="1"/>
  <c r="BG10" i="1"/>
  <c r="BF10" i="1"/>
  <c r="BE10" i="1"/>
  <c r="BD10" i="1"/>
  <c r="BC10" i="1"/>
  <c r="BB10" i="1"/>
  <c r="BA10" i="1"/>
  <c r="AZ10" i="1"/>
  <c r="AY10" i="1"/>
  <c r="AX10" i="1"/>
  <c r="AV10" i="1"/>
  <c r="AW10" i="1" s="1"/>
  <c r="AT10" i="1"/>
  <c r="AS10" i="1"/>
  <c r="AR10" i="1"/>
  <c r="AQ10" i="1"/>
  <c r="AP10" i="1"/>
  <c r="AO10" i="1"/>
  <c r="BR9" i="1"/>
  <c r="BQ9" i="1"/>
  <c r="BP9" i="1"/>
  <c r="BN9" i="1"/>
  <c r="BM9" i="1"/>
  <c r="BL9" i="1"/>
  <c r="BK9" i="1"/>
  <c r="BJ9" i="1"/>
  <c r="BI9" i="1"/>
  <c r="BH9" i="1"/>
  <c r="BG9" i="1"/>
  <c r="BF9" i="1"/>
  <c r="BE9" i="1"/>
  <c r="BD9" i="1"/>
  <c r="BC9" i="1"/>
  <c r="BB9" i="1"/>
  <c r="BA9" i="1"/>
  <c r="AZ9" i="1"/>
  <c r="AY9" i="1"/>
  <c r="AX9" i="1"/>
  <c r="AV9" i="1"/>
  <c r="AW9" i="1" s="1"/>
  <c r="AT9" i="1"/>
  <c r="AU9" i="1" s="1"/>
  <c r="AS9" i="1"/>
  <c r="AR9" i="1"/>
  <c r="AQ9" i="1"/>
  <c r="AP9" i="1"/>
  <c r="AO9" i="1"/>
  <c r="BR8" i="1"/>
  <c r="BQ8" i="1"/>
  <c r="BP8" i="1"/>
  <c r="BN8" i="1"/>
  <c r="BM8" i="1"/>
  <c r="BL8" i="1"/>
  <c r="BK8" i="1"/>
  <c r="BJ8" i="1"/>
  <c r="BI8" i="1"/>
  <c r="BH8" i="1"/>
  <c r="BG8" i="1"/>
  <c r="BF8" i="1"/>
  <c r="BE8" i="1"/>
  <c r="BD8" i="1"/>
  <c r="BC8" i="1"/>
  <c r="BB8" i="1"/>
  <c r="BA8" i="1"/>
  <c r="AZ8" i="1"/>
  <c r="AY8" i="1"/>
  <c r="AX8" i="1"/>
  <c r="AV8" i="1"/>
  <c r="AW8" i="1" s="1"/>
  <c r="AT8" i="1"/>
  <c r="AS8" i="1"/>
  <c r="AR8" i="1"/>
  <c r="AQ8" i="1"/>
  <c r="AP8" i="1"/>
  <c r="AO8" i="1"/>
  <c r="AU8" i="1" s="1"/>
  <c r="BR7" i="1"/>
  <c r="BQ7" i="1"/>
  <c r="BP7" i="1"/>
  <c r="BN7" i="1"/>
  <c r="BM7" i="1"/>
  <c r="BL7" i="1"/>
  <c r="BK7" i="1"/>
  <c r="BJ7" i="1"/>
  <c r="BI7" i="1"/>
  <c r="BH7" i="1"/>
  <c r="BG7" i="1"/>
  <c r="BF7" i="1"/>
  <c r="BE7" i="1"/>
  <c r="BD7" i="1"/>
  <c r="BC7" i="1"/>
  <c r="BB7" i="1"/>
  <c r="BA7" i="1"/>
  <c r="AZ7" i="1"/>
  <c r="AY7" i="1"/>
  <c r="AX7" i="1"/>
  <c r="AV7" i="1"/>
  <c r="AW7" i="1" s="1"/>
  <c r="AT7" i="1"/>
  <c r="AS7" i="1"/>
  <c r="AR7" i="1"/>
  <c r="AQ7" i="1"/>
  <c r="AP7" i="1"/>
  <c r="AO7" i="1"/>
  <c r="BR6" i="1"/>
  <c r="BQ6" i="1"/>
  <c r="BP6" i="1"/>
  <c r="BN6" i="1"/>
  <c r="BM6" i="1"/>
  <c r="BL6" i="1"/>
  <c r="BK6" i="1"/>
  <c r="BJ6" i="1"/>
  <c r="BI6" i="1"/>
  <c r="BH6" i="1"/>
  <c r="BG6" i="1"/>
  <c r="BF6" i="1"/>
  <c r="BE6" i="1"/>
  <c r="BD6" i="1"/>
  <c r="BC6" i="1"/>
  <c r="BB6" i="1"/>
  <c r="BA6" i="1"/>
  <c r="AZ6" i="1"/>
  <c r="AY6" i="1"/>
  <c r="AX6" i="1"/>
  <c r="AV6" i="1"/>
  <c r="AW6" i="1" s="1"/>
  <c r="AT6" i="1"/>
  <c r="AU6" i="1" s="1"/>
  <c r="AS6" i="1"/>
  <c r="AR6" i="1"/>
  <c r="AQ6" i="1"/>
  <c r="AP6" i="1"/>
  <c r="AO6" i="1"/>
  <c r="BR5" i="1"/>
  <c r="BQ5" i="1"/>
  <c r="BP5" i="1"/>
  <c r="BN5" i="1"/>
  <c r="BM5" i="1"/>
  <c r="BL5" i="1"/>
  <c r="BK5" i="1"/>
  <c r="BJ5" i="1"/>
  <c r="BI5" i="1"/>
  <c r="BH5" i="1"/>
  <c r="BG5" i="1"/>
  <c r="BF5" i="1"/>
  <c r="BE5" i="1"/>
  <c r="BD5" i="1"/>
  <c r="BC5" i="1"/>
  <c r="BB5" i="1"/>
  <c r="BA5" i="1"/>
  <c r="AZ5" i="1"/>
  <c r="AY5" i="1"/>
  <c r="AX5" i="1"/>
  <c r="AV5" i="1"/>
  <c r="AW5" i="1" s="1"/>
  <c r="AT5" i="1"/>
  <c r="AQ5" i="1"/>
  <c r="AP5" i="1"/>
  <c r="AO5" i="1"/>
  <c r="BR4" i="1"/>
  <c r="BQ4" i="1"/>
  <c r="BN4" i="1"/>
  <c r="BM4" i="1"/>
  <c r="BL4" i="1"/>
  <c r="BK4" i="1"/>
  <c r="BJ4" i="1"/>
  <c r="BI4" i="1"/>
  <c r="BH4" i="1"/>
  <c r="BG4" i="1"/>
  <c r="BF4" i="1"/>
  <c r="BE4" i="1"/>
  <c r="BD4" i="1"/>
  <c r="BC4" i="1"/>
  <c r="BB4" i="1"/>
  <c r="BA4" i="1"/>
  <c r="AZ4" i="1"/>
  <c r="AY4" i="1"/>
  <c r="AX4" i="1"/>
  <c r="AV4" i="1"/>
  <c r="AW4" i="1" s="1"/>
  <c r="AT4" i="1"/>
  <c r="AS4" i="1"/>
  <c r="AR4" i="1"/>
  <c r="AQ4" i="1"/>
  <c r="AP4" i="1"/>
  <c r="AO4" i="1"/>
  <c r="BR3" i="1"/>
  <c r="BQ3" i="1"/>
  <c r="BP3" i="1"/>
  <c r="BN3" i="1"/>
  <c r="BM3" i="1"/>
  <c r="BL3" i="1"/>
  <c r="BK3" i="1"/>
  <c r="BJ3" i="1"/>
  <c r="BI3" i="1"/>
  <c r="BH3" i="1"/>
  <c r="BG3" i="1"/>
  <c r="BF3" i="1"/>
  <c r="BE3" i="1"/>
  <c r="BD3" i="1"/>
  <c r="BC3" i="1"/>
  <c r="BB3" i="1"/>
  <c r="BA3" i="1"/>
  <c r="AZ3" i="1"/>
  <c r="AY3" i="1"/>
  <c r="AX3" i="1"/>
  <c r="AV3" i="1"/>
  <c r="AW3" i="1" s="1"/>
  <c r="AT3" i="1"/>
  <c r="AS3" i="1"/>
  <c r="AR3" i="1"/>
  <c r="AQ3" i="1"/>
  <c r="AP3" i="1"/>
  <c r="AO3" i="1"/>
  <c r="BR2" i="1"/>
  <c r="BQ2" i="1"/>
  <c r="BP2" i="1"/>
  <c r="BN2" i="1"/>
  <c r="BM2" i="1"/>
  <c r="BL2" i="1"/>
  <c r="BK2" i="1"/>
  <c r="BJ2" i="1"/>
  <c r="BI2" i="1"/>
  <c r="BH2" i="1"/>
  <c r="BG2" i="1"/>
  <c r="BF2" i="1"/>
  <c r="BE2" i="1"/>
  <c r="BD2" i="1"/>
  <c r="BC2" i="1"/>
  <c r="BB2" i="1"/>
  <c r="BA2" i="1"/>
  <c r="AZ2" i="1"/>
  <c r="AY2" i="1"/>
  <c r="AX2" i="1"/>
  <c r="AV2" i="1"/>
  <c r="AT2" i="1"/>
  <c r="AO2" i="1"/>
  <c r="AR16" i="6" l="1"/>
  <c r="BL22" i="6"/>
  <c r="AR23" i="6"/>
  <c r="AR13" i="6"/>
  <c r="BL39" i="6"/>
  <c r="BL3" i="6"/>
  <c r="BL8" i="6"/>
  <c r="AR9" i="6"/>
  <c r="AR2" i="6"/>
  <c r="AR30" i="6"/>
  <c r="AR20" i="6"/>
  <c r="AR4" i="6"/>
  <c r="AR7" i="6"/>
  <c r="AR36" i="6"/>
  <c r="AU38" i="6"/>
  <c r="BL12" i="6"/>
  <c r="AR3" i="6"/>
  <c r="BL19" i="6"/>
  <c r="AR11" i="6"/>
  <c r="AR24" i="6"/>
  <c r="AR15" i="6"/>
  <c r="AR29" i="6"/>
  <c r="AS33" i="6"/>
  <c r="AT33" i="6" s="1"/>
  <c r="BL27" i="6"/>
  <c r="BL41" i="6"/>
  <c r="BL25" i="6"/>
  <c r="BL29" i="6"/>
  <c r="AR31" i="6"/>
  <c r="AR5" i="6"/>
  <c r="BL10" i="6"/>
  <c r="BL21" i="6"/>
  <c r="AR37" i="6"/>
  <c r="AR6" i="6"/>
  <c r="AR10" i="6"/>
  <c r="AR28" i="6"/>
  <c r="AR41" i="6"/>
  <c r="AR8" i="6"/>
  <c r="AR26" i="6"/>
  <c r="BL14" i="6"/>
  <c r="BL6" i="6"/>
  <c r="BL16" i="6"/>
  <c r="BL30" i="6"/>
  <c r="AR18" i="6"/>
  <c r="AR21" i="6"/>
  <c r="BL23" i="6"/>
  <c r="AR35" i="6"/>
  <c r="AR39" i="6"/>
  <c r="BL31" i="6"/>
  <c r="AR32" i="6"/>
  <c r="AR12" i="6"/>
  <c r="BL17" i="6"/>
  <c r="BN49" i="1"/>
  <c r="BC43" i="1"/>
  <c r="BO37" i="1"/>
  <c r="BG49" i="1"/>
  <c r="BM49" i="1"/>
  <c r="BG47" i="1"/>
  <c r="AV38" i="1"/>
  <c r="AW38" i="1" s="1"/>
  <c r="BH49" i="1"/>
  <c r="AU10" i="1"/>
  <c r="BE44" i="1"/>
  <c r="AY47" i="1"/>
  <c r="AU4" i="1"/>
  <c r="BO22" i="1"/>
  <c r="AU23" i="1"/>
  <c r="AS44" i="1"/>
  <c r="BF44" i="1"/>
  <c r="BC45" i="1"/>
  <c r="BP44" i="1"/>
  <c r="AZ47" i="1"/>
  <c r="BL47" i="1"/>
  <c r="AW47" i="1"/>
  <c r="AU39" i="1"/>
  <c r="BO24" i="1"/>
  <c r="BE49" i="1"/>
  <c r="BF49" i="1"/>
  <c r="AO49" i="1"/>
  <c r="BA49" i="1"/>
  <c r="BJ47" i="1"/>
  <c r="BI47" i="1"/>
  <c r="AU19" i="1"/>
  <c r="AR45" i="1"/>
  <c r="BR45" i="1"/>
  <c r="BH47" i="1"/>
  <c r="AX38" i="1"/>
  <c r="AX47" i="1" s="1"/>
  <c r="BJ49" i="1"/>
  <c r="BO18" i="1"/>
  <c r="AU21" i="1"/>
  <c r="BO31" i="1"/>
  <c r="AT44" i="1"/>
  <c r="BA47" i="1"/>
  <c r="BM47" i="1"/>
  <c r="BK47" i="1"/>
  <c r="AY49" i="1"/>
  <c r="BD49" i="1"/>
  <c r="BB43" i="1"/>
  <c r="BT48" i="1"/>
  <c r="W48" i="1"/>
  <c r="BS48" i="1"/>
  <c r="BK49" i="1"/>
  <c r="AU3" i="1"/>
  <c r="AU20" i="1"/>
  <c r="AU28" i="1"/>
  <c r="BH44" i="1"/>
  <c r="AU33" i="1"/>
  <c r="AU45" i="1" s="1"/>
  <c r="BB47" i="1"/>
  <c r="BN47" i="1"/>
  <c r="AZ49" i="1"/>
  <c r="BL49" i="1"/>
  <c r="BI45" i="1"/>
  <c r="AP45" i="1"/>
  <c r="AO46" i="1"/>
  <c r="BC47" i="1"/>
  <c r="BJ45" i="1"/>
  <c r="BD47" i="1"/>
  <c r="BO14" i="1"/>
  <c r="BP46" i="1"/>
  <c r="U48" i="1"/>
  <c r="BM43" i="1"/>
  <c r="BA43" i="1"/>
  <c r="BE45" i="1"/>
  <c r="BO33" i="1"/>
  <c r="BN43" i="1"/>
  <c r="BO2" i="1"/>
  <c r="BO28" i="1"/>
  <c r="BO38" i="1"/>
  <c r="AS49" i="1"/>
  <c r="BO5" i="1"/>
  <c r="BO11" i="1"/>
  <c r="BD44" i="1"/>
  <c r="BD46" i="1"/>
  <c r="J48" i="1"/>
  <c r="V48" i="1"/>
  <c r="AH48" i="1"/>
  <c r="AQ45" i="1"/>
  <c r="BL43" i="1"/>
  <c r="AZ43" i="1"/>
  <c r="AU36" i="1"/>
  <c r="AS45" i="1"/>
  <c r="BJ43" i="1"/>
  <c r="BI43" i="1"/>
  <c r="BI49" i="1"/>
  <c r="BO8" i="1"/>
  <c r="N48" i="1"/>
  <c r="BH43" i="1"/>
  <c r="BC46" i="1"/>
  <c r="K48" i="1"/>
  <c r="BJ42" i="1"/>
  <c r="AZ46" i="1"/>
  <c r="BO35" i="1"/>
  <c r="AU37" i="1"/>
  <c r="BP49" i="1"/>
  <c r="AU27" i="1"/>
  <c r="BO29" i="1"/>
  <c r="AR47" i="1"/>
  <c r="AU35" i="1"/>
  <c r="BO36" i="1"/>
  <c r="BO39" i="1"/>
  <c r="O48" i="1"/>
  <c r="AA48" i="1"/>
  <c r="BQ45" i="1"/>
  <c r="AK47" i="1"/>
  <c r="BG43" i="1"/>
  <c r="BC49" i="1"/>
  <c r="AT49" i="1"/>
  <c r="BO21" i="1"/>
  <c r="BK46" i="1"/>
  <c r="T48" i="1"/>
  <c r="AF48" i="1"/>
  <c r="BB49" i="1"/>
  <c r="AG48" i="1"/>
  <c r="BO25" i="1"/>
  <c r="AQ46" i="1"/>
  <c r="BO41" i="1"/>
  <c r="AI48" i="1"/>
  <c r="BK43" i="1"/>
  <c r="AX43" i="1"/>
  <c r="BP47" i="1"/>
  <c r="AR46" i="1"/>
  <c r="L48" i="1"/>
  <c r="BO6" i="1"/>
  <c r="AU7" i="1"/>
  <c r="BO12" i="1"/>
  <c r="AU13" i="1"/>
  <c r="AX42" i="1"/>
  <c r="M48" i="1"/>
  <c r="AT45" i="1"/>
  <c r="AS43" i="1"/>
  <c r="BO9" i="1"/>
  <c r="BO16" i="1"/>
  <c r="AU18" i="1"/>
  <c r="BR47" i="1"/>
  <c r="Z48" i="1"/>
  <c r="BI42" i="1"/>
  <c r="BP45" i="1"/>
  <c r="BQ49" i="1"/>
  <c r="AS47" i="1"/>
  <c r="AP47" i="1"/>
  <c r="AB48" i="1"/>
  <c r="BF43" i="1"/>
  <c r="AP49" i="1"/>
  <c r="BO17" i="1"/>
  <c r="BE43" i="1"/>
  <c r="AY43" i="1"/>
  <c r="AQ49" i="1"/>
  <c r="AY46" i="1"/>
  <c r="H48" i="1"/>
  <c r="AR49" i="1"/>
  <c r="I48" i="1"/>
  <c r="BO19" i="1"/>
  <c r="BO26" i="1"/>
  <c r="BQ47" i="1"/>
  <c r="BL46" i="1"/>
  <c r="Y48" i="1"/>
  <c r="AR44" i="1"/>
  <c r="BR49" i="1"/>
  <c r="BA42" i="1"/>
  <c r="BM42" i="1"/>
  <c r="BO4" i="1"/>
  <c r="AU5" i="1"/>
  <c r="BO10" i="1"/>
  <c r="AU11" i="1"/>
  <c r="BO23" i="1"/>
  <c r="AU24" i="1"/>
  <c r="AU25" i="1"/>
  <c r="BO30" i="1"/>
  <c r="AU31" i="1"/>
  <c r="AO45" i="1"/>
  <c r="BB44" i="1"/>
  <c r="BN44" i="1"/>
  <c r="AT47" i="1"/>
  <c r="AQ47" i="1"/>
  <c r="BO40" i="1"/>
  <c r="BO7" i="1"/>
  <c r="BO13" i="1"/>
  <c r="AP44" i="1"/>
  <c r="BC44" i="1"/>
  <c r="AO47" i="1"/>
  <c r="F48" i="1"/>
  <c r="R48" i="1"/>
  <c r="AD48" i="1"/>
  <c r="BD43" i="1"/>
  <c r="BH45" i="1"/>
  <c r="BL34" i="6"/>
  <c r="BL40" i="6"/>
  <c r="BL20" i="6"/>
  <c r="BL26" i="6"/>
  <c r="BL11" i="6"/>
  <c r="BL9" i="6"/>
  <c r="BL18" i="6"/>
  <c r="AR19" i="6"/>
  <c r="BL32" i="6"/>
  <c r="AR33" i="6"/>
  <c r="AS38" i="6"/>
  <c r="AT38" i="6" s="1"/>
  <c r="BL38" i="6"/>
  <c r="BL4" i="6"/>
  <c r="AR25" i="6"/>
  <c r="BL36" i="6"/>
  <c r="BL7" i="6"/>
  <c r="BL13" i="6"/>
  <c r="BL35" i="6"/>
  <c r="AR17" i="6"/>
  <c r="BL24" i="6"/>
  <c r="BL33" i="6"/>
  <c r="BL2" i="6"/>
  <c r="BL5" i="6"/>
  <c r="BL15" i="6"/>
  <c r="BL28" i="6"/>
  <c r="BL37" i="6"/>
  <c r="AR34" i="6"/>
  <c r="AT34" i="6"/>
  <c r="AC48" i="1"/>
  <c r="X48" i="1"/>
  <c r="Q48" i="1"/>
  <c r="P48" i="1"/>
  <c r="AX45" i="1"/>
  <c r="AW46" i="1"/>
  <c r="BA46" i="1"/>
  <c r="BM46" i="1"/>
  <c r="AW32" i="1"/>
  <c r="AW45" i="1" s="1"/>
  <c r="AU34" i="1"/>
  <c r="AV43" i="1"/>
  <c r="AP46" i="1"/>
  <c r="BB46" i="1"/>
  <c r="BN46" i="1"/>
  <c r="BK42" i="1"/>
  <c r="AW2" i="1"/>
  <c r="BO3" i="1"/>
  <c r="AO42" i="1"/>
  <c r="BI44" i="1"/>
  <c r="AS46" i="1"/>
  <c r="BE46" i="1"/>
  <c r="BQ46" i="1"/>
  <c r="AK49" i="1"/>
  <c r="AU2" i="1"/>
  <c r="BL42" i="1"/>
  <c r="BL48" i="1" s="1"/>
  <c r="AP42" i="1"/>
  <c r="BB42" i="1"/>
  <c r="BN42" i="1"/>
  <c r="AX44" i="1"/>
  <c r="BJ44" i="1"/>
  <c r="AT46" i="1"/>
  <c r="BF46" i="1"/>
  <c r="BR46" i="1"/>
  <c r="AL49" i="1"/>
  <c r="AY42" i="1"/>
  <c r="AX49" i="1"/>
  <c r="AQ42" i="1"/>
  <c r="BC42" i="1"/>
  <c r="AO43" i="1"/>
  <c r="AK44" i="1"/>
  <c r="AY44" i="1"/>
  <c r="BK44" i="1"/>
  <c r="BG46" i="1"/>
  <c r="BO32" i="1"/>
  <c r="AR42" i="1"/>
  <c r="BD42" i="1"/>
  <c r="BP42" i="1"/>
  <c r="AP43" i="1"/>
  <c r="AL44" i="1"/>
  <c r="AL48" i="1" s="1"/>
  <c r="AZ44" i="1"/>
  <c r="BL44" i="1"/>
  <c r="AV46" i="1"/>
  <c r="BH46" i="1"/>
  <c r="AV33" i="1"/>
  <c r="AW33" i="1" s="1"/>
  <c r="AS42" i="1"/>
  <c r="AS48" i="1" s="1"/>
  <c r="BE42" i="1"/>
  <c r="BQ42" i="1"/>
  <c r="AQ43" i="1"/>
  <c r="AO44" i="1"/>
  <c r="AO48" i="1" s="1"/>
  <c r="BA44" i="1"/>
  <c r="BM44" i="1"/>
  <c r="AK45" i="1"/>
  <c r="BI46" i="1"/>
  <c r="BO34" i="1"/>
  <c r="AT42" i="1"/>
  <c r="BF42" i="1"/>
  <c r="BR42" i="1"/>
  <c r="AR43" i="1"/>
  <c r="BP43" i="1"/>
  <c r="AX46" i="1"/>
  <c r="BJ46" i="1"/>
  <c r="AV47" i="1"/>
  <c r="AZ42" i="1"/>
  <c r="BG42" i="1"/>
  <c r="BQ43" i="1"/>
  <c r="AV42" i="1"/>
  <c r="BH42" i="1"/>
  <c r="AT43" i="1"/>
  <c r="BR43" i="1"/>
  <c r="AR48" i="1" l="1"/>
  <c r="AV45" i="1"/>
  <c r="BN48" i="1"/>
  <c r="AV44" i="1"/>
  <c r="AU44" i="1"/>
  <c r="BP48" i="1"/>
  <c r="BC48" i="1"/>
  <c r="BO43" i="1"/>
  <c r="BJ48" i="1"/>
  <c r="AZ48" i="1"/>
  <c r="AQ48" i="1"/>
  <c r="BD48" i="1"/>
  <c r="BM48" i="1"/>
  <c r="BI48" i="1"/>
  <c r="AP48" i="1"/>
  <c r="BB48" i="1"/>
  <c r="BA48" i="1"/>
  <c r="BQ48" i="1"/>
  <c r="BK48" i="1"/>
  <c r="AK48" i="1"/>
  <c r="AV49" i="1"/>
  <c r="BO42" i="1"/>
  <c r="BE48" i="1"/>
  <c r="AV48" i="1"/>
  <c r="BF48" i="1"/>
  <c r="BO49" i="1"/>
  <c r="AT48" i="1"/>
  <c r="AX48" i="1"/>
  <c r="BH48" i="1"/>
  <c r="AY48" i="1"/>
  <c r="BG48" i="1"/>
  <c r="AW49" i="1"/>
  <c r="AW43" i="1"/>
  <c r="BR48" i="1"/>
  <c r="AW44" i="1"/>
  <c r="AU42" i="1"/>
  <c r="AU49" i="1"/>
  <c r="AU43" i="1"/>
  <c r="AW42" i="1"/>
  <c r="AU47" i="1"/>
  <c r="AU46" i="1"/>
  <c r="BO46" i="1"/>
  <c r="BO47" i="1"/>
  <c r="BO44" i="1"/>
  <c r="BO45" i="1"/>
  <c r="AU48" i="1" l="1"/>
  <c r="BO48" i="1"/>
  <c r="AW48" i="1"/>
</calcChain>
</file>

<file path=xl/sharedStrings.xml><?xml version="1.0" encoding="utf-8"?>
<sst xmlns="http://schemas.openxmlformats.org/spreadsheetml/2006/main" count="723" uniqueCount="382">
  <si>
    <t>Cluster</t>
  </si>
  <si>
    <t>Database ID</t>
  </si>
  <si>
    <t>Name</t>
  </si>
  <si>
    <t>Latin Name</t>
  </si>
  <si>
    <t>VALUES FROM ORIGINAL DATABASE (TCA)</t>
  </si>
  <si>
    <t>Energy (kcal)</t>
  </si>
  <si>
    <t>Lipids (g)</t>
  </si>
  <si>
    <t>SFA (g)</t>
  </si>
  <si>
    <t>MUFA (g)</t>
  </si>
  <si>
    <t>PUFA  (g)</t>
  </si>
  <si>
    <t>Linoleic Acid (g)</t>
  </si>
  <si>
    <t>Trans Fatty Acids (g)</t>
  </si>
  <si>
    <t>Protein (g)</t>
  </si>
  <si>
    <t>Salt (g)</t>
  </si>
  <si>
    <t>Water (g)</t>
  </si>
  <si>
    <t>Cholesterol (mg)</t>
  </si>
  <si>
    <t>Vitamin A  (µg)</t>
  </si>
  <si>
    <t>Vitamin D (µg)</t>
  </si>
  <si>
    <t>α-tocopherol (mg)</t>
  </si>
  <si>
    <t>Tiamin (mg)</t>
  </si>
  <si>
    <t>Riboflavin (mg)</t>
  </si>
  <si>
    <t>Niacin (Vitamin B3) (mg)</t>
  </si>
  <si>
    <t>Niancin Equivalents (mg)</t>
  </si>
  <si>
    <t>Triptophan (mg)</t>
  </si>
  <si>
    <t>Vitamin B6 (mg)</t>
  </si>
  <si>
    <t>Vitamin B12 (µg)</t>
  </si>
  <si>
    <t>Folate (µg)</t>
  </si>
  <si>
    <t>Ash (g)</t>
  </si>
  <si>
    <t>Sodium (mg)</t>
  </si>
  <si>
    <t>Potassium (mg)</t>
  </si>
  <si>
    <t>Calcium (mg)</t>
  </si>
  <si>
    <t>Phosphorus (mg)</t>
  </si>
  <si>
    <t>Magnesium (mg)</t>
  </si>
  <si>
    <t>Iron (mg)</t>
  </si>
  <si>
    <t>Zinc (mg)</t>
  </si>
  <si>
    <t>VALUES FROM EXTERNAL SOURCES</t>
  </si>
  <si>
    <t>EPA (g)</t>
  </si>
  <si>
    <t>DHA (g)</t>
  </si>
  <si>
    <t>EPA &amp; DHA Data Source</t>
  </si>
  <si>
    <t>CALCULATED VALUES</t>
  </si>
  <si>
    <t>Energy from Lipids (kcal)</t>
  </si>
  <si>
    <t>MUFA/PUFA</t>
  </si>
  <si>
    <t>SFA/PUFA</t>
  </si>
  <si>
    <t>SFA/MUFA  index</t>
  </si>
  <si>
    <t xml:space="preserve">PUFA/SFA index </t>
  </si>
  <si>
    <t>Energy from Protein [kcal]</t>
  </si>
  <si>
    <t>Protein-to-energy ratio (PER)</t>
  </si>
  <si>
    <t>EPA+DHA</t>
  </si>
  <si>
    <t>EPA+DHA DV</t>
  </si>
  <si>
    <t>EPA/DHA Ratio</t>
  </si>
  <si>
    <t>Vit A NRV</t>
  </si>
  <si>
    <t>Vit D NRV</t>
  </si>
  <si>
    <t>Vit E NRV</t>
  </si>
  <si>
    <t>Vit B1 NRV</t>
  </si>
  <si>
    <t>Vit B2 NRV</t>
  </si>
  <si>
    <t>Vit B3 NRV</t>
  </si>
  <si>
    <t>Vit B6 NRV</t>
  </si>
  <si>
    <t>Vit B12 NRV</t>
  </si>
  <si>
    <t>Vit B9 NRV</t>
  </si>
  <si>
    <t>Na NRV</t>
  </si>
  <si>
    <t>K NRV</t>
  </si>
  <si>
    <t>Ca NRV</t>
  </si>
  <si>
    <t>P NRV</t>
  </si>
  <si>
    <t>Mg NRV</t>
  </si>
  <si>
    <t>Fe NRV</t>
  </si>
  <si>
    <t>Zn NRV</t>
  </si>
  <si>
    <t>NRF93</t>
  </si>
  <si>
    <t>Na/K Ratio</t>
  </si>
  <si>
    <t>Fe/Zn Ratio</t>
  </si>
  <si>
    <t>Ca/P Ratio</t>
  </si>
  <si>
    <t>Forkbeard</t>
  </si>
  <si>
    <t>Phycis phycis</t>
  </si>
  <si>
    <t>U.S. Department of Agriculture FoodData Central (FDC ID: 333374)</t>
  </si>
  <si>
    <t>Atlantic Cod</t>
  </si>
  <si>
    <t>Gadus morhua</t>
  </si>
  <si>
    <t>Dutch Food Composition Database (NEVO)</t>
  </si>
  <si>
    <t>Seabream</t>
  </si>
  <si>
    <t>Pagellus bogaraveo</t>
  </si>
  <si>
    <t>Swedish Food Composition Database (Livsmedelsdatabasen)</t>
  </si>
  <si>
    <t>Dogfish</t>
  </si>
  <si>
    <t>Scyliorhinus spp.</t>
  </si>
  <si>
    <t>Norwegian Food Composition Database (Matvaretabellen)</t>
  </si>
  <si>
    <t>Bream</t>
  </si>
  <si>
    <t>Beryx decadactylus, Alfonsino</t>
  </si>
  <si>
    <t>Redfish</t>
  </si>
  <si>
    <t>Helicolenus dactylopterus</t>
  </si>
  <si>
    <t>Wreckfish</t>
  </si>
  <si>
    <t>Polyprion americanus</t>
  </si>
  <si>
    <t>Meagre</t>
  </si>
  <si>
    <t>Argyrosomus regius</t>
  </si>
  <si>
    <t>Swordfish</t>
  </si>
  <si>
    <t>Xiphias gladius</t>
  </si>
  <si>
    <t>U.S. Department of Agriculture FoodData Central (FDC ID: 173703)</t>
  </si>
  <si>
    <t>Pouting</t>
  </si>
  <si>
    <t>Trisopterus luscus</t>
  </si>
  <si>
    <t>Grouper</t>
  </si>
  <si>
    <t>Epinephelus spp.</t>
  </si>
  <si>
    <t>U.S. Department of Agriculture FoodData Central ((FDC ID: 171962)</t>
  </si>
  <si>
    <t>Red Seabream</t>
  </si>
  <si>
    <t>Pagellus erythrinus</t>
  </si>
  <si>
    <t>Alfonsino</t>
  </si>
  <si>
    <t>Beryx splendens</t>
  </si>
  <si>
    <t>Sole</t>
  </si>
  <si>
    <t>Solea solea</t>
  </si>
  <si>
    <t>U.S. Department of Agriculture FoodData Central ((FDC ID: 174196)</t>
  </si>
  <si>
    <t>Blue Ling</t>
  </si>
  <si>
    <t>Molva dypterygia</t>
  </si>
  <si>
    <t>Common Dentex</t>
  </si>
  <si>
    <t>Dentex dentex</t>
  </si>
  <si>
    <t>Blackspot Seabream</t>
  </si>
  <si>
    <t>Pagellus bogaraveo or Pagrus spp.</t>
  </si>
  <si>
    <t>Silver Scabbardfish</t>
  </si>
  <si>
    <t>Lepidopus caudatus</t>
  </si>
  <si>
    <t>Black Scabbardfish</t>
  </si>
  <si>
    <t>Aphanopus carbo</t>
  </si>
  <si>
    <t>Hake</t>
  </si>
  <si>
    <t>Merluccius spp.</t>
  </si>
  <si>
    <t>Shallow-water Cape Hake</t>
  </si>
  <si>
    <t>Merluccius capensis</t>
  </si>
  <si>
    <t>Chilean Hake</t>
  </si>
  <si>
    <t>Merluccius gayi</t>
  </si>
  <si>
    <t>European Hake</t>
  </si>
  <si>
    <t>Merluccius merluccius</t>
  </si>
  <si>
    <t>Ray</t>
  </si>
  <si>
    <t>Raja spp.</t>
  </si>
  <si>
    <t>European Seabass</t>
  </si>
  <si>
    <t>Dicentrarchus labrax</t>
  </si>
  <si>
    <t>European Conger</t>
  </si>
  <si>
    <t>Conger conger</t>
  </si>
  <si>
    <t>Red Mullet</t>
  </si>
  <si>
    <t>Mullus barbatus</t>
  </si>
  <si>
    <t>U.S. Department of Agriculture FoodData Central (FDC ID: 175123)</t>
  </si>
  <si>
    <t>European Plaice</t>
  </si>
  <si>
    <t>Pleuronectes platessa</t>
  </si>
  <si>
    <t>Anglerfish/Monkfish</t>
  </si>
  <si>
    <t>Lophius piscatorius</t>
  </si>
  <si>
    <t>Rainbow Trout</t>
  </si>
  <si>
    <t>Oncorhynchus mykiss</t>
  </si>
  <si>
    <t>European Eel</t>
  </si>
  <si>
    <t>Anguilla anguilla</t>
  </si>
  <si>
    <t>Lamprey</t>
  </si>
  <si>
    <t>Petromyzon marinus</t>
  </si>
  <si>
    <t>Ventura, H. E., Machado, M. G., &amp; Lança, M. J. (2024). Sea lamprey (Petromyzon marinus L.), a delicacy with high gastronomic impact in several countries of Western Europe: Nutritional composition and healthy lipid index of fillets. In Inovações em ciência de alimentos da produção à nutrição (Vol. 3, pp. 41–57). Universidade de Évora / Instituto Mediterrâneo para a Agricultura, Ambiente e Sustentabilidade.</t>
  </si>
  <si>
    <t>Tuna</t>
  </si>
  <si>
    <t>Thunnus spp</t>
  </si>
  <si>
    <t>U.S. Department of Agriculture FoodData Central (FDC ID: 173706)</t>
  </si>
  <si>
    <t>Atlantic Horse Mackerel</t>
  </si>
  <si>
    <t>Trachurus trachurus</t>
  </si>
  <si>
    <t>U.S. Department of Agriculture FoodData Central (FDC ID: 175121)</t>
  </si>
  <si>
    <t>Atlantic Mackerel</t>
  </si>
  <si>
    <t>Scomber scombrus</t>
  </si>
  <si>
    <t>Blue Jack Mackerel</t>
  </si>
  <si>
    <t>Trachurus picturatus</t>
  </si>
  <si>
    <t xml:space="preserve">U.S. Department of Agriculture FoodData Central </t>
  </si>
  <si>
    <t>Atlantic Bonito</t>
  </si>
  <si>
    <t>Sarda sarda</t>
  </si>
  <si>
    <t>Gülsüm Balçik Misir, Bekir Tufan, Sevim Köse, Monthly variation of total lipid and fatty acid contents of Atlantic bonito, Sarda sarda (Bloch, 1793) of Black Sea, International Journal of Food Science and Technology, Volume 49, Issue 12, December 2014, Pages 2668–2677, https://doi.org/10.1111/ijfs.12578</t>
  </si>
  <si>
    <t>European Sardine (fat grade)</t>
  </si>
  <si>
    <t>Sardina pilchardus</t>
  </si>
  <si>
    <t>Scheuer, F., Sterzelecki, F. C., Wagner, R., Xavier, A. C., Pereira de Souza, M., Brasil, E. M., Fracalossi, D., &amp; Cerqueira, V. R. (2024). Proximate and fatty acids composition in the muscle of wild and farmed sardine (Sardinella brasiliensis). Food Chemistry Advances, 4, 100637. https://doi.org/10.1016/j.focha.2024.100637</t>
  </si>
  <si>
    <t>European Sardine (semi-fat grade)</t>
  </si>
  <si>
    <t>Atlantic Salmon</t>
  </si>
  <si>
    <t>Salmo salar</t>
  </si>
  <si>
    <t>CLUSTER 0 (LEAN FISH) AVERAGE</t>
  </si>
  <si>
    <t>±SD</t>
  </si>
  <si>
    <t>CLUSTER 1 (OUTLIERS) AVERAGE</t>
  </si>
  <si>
    <t>CLUSTER 2 (OILY FISH) AVERAGE</t>
  </si>
  <si>
    <t>ALL</t>
  </si>
  <si>
    <t>±11.34</t>
  </si>
  <si>
    <t>±302.58</t>
  </si>
  <si>
    <t>±7.07</t>
  </si>
  <si>
    <t>NRFfish (per 100 g)</t>
  </si>
  <si>
    <t>NRFfish (per 100 kcal)</t>
  </si>
  <si>
    <t>±17.30</t>
  </si>
  <si>
    <t>±1.68</t>
  </si>
  <si>
    <t>±0.44</t>
  </si>
  <si>
    <t>±0.88</t>
  </si>
  <si>
    <t>±0.28</t>
  </si>
  <si>
    <t>±0.09</t>
  </si>
  <si>
    <t>±0.00</t>
  </si>
  <si>
    <t>±1.49</t>
  </si>
  <si>
    <t>±0.10</t>
  </si>
  <si>
    <t>±2.51</t>
  </si>
  <si>
    <t>±15</t>
  </si>
  <si>
    <t>±48</t>
  </si>
  <si>
    <t>±16.38</t>
  </si>
  <si>
    <t>±0.73</t>
  </si>
  <si>
    <t>±0.06</t>
  </si>
  <si>
    <t>±0.03</t>
  </si>
  <si>
    <t>±1.10</t>
  </si>
  <si>
    <t>±1.21</t>
  </si>
  <si>
    <t>±16</t>
  </si>
  <si>
    <t>±0.14</t>
  </si>
  <si>
    <t>±1.06</t>
  </si>
  <si>
    <t>±5.87</t>
  </si>
  <si>
    <t>±0.19</t>
  </si>
  <si>
    <t>±36</t>
  </si>
  <si>
    <t>±63.68</t>
  </si>
  <si>
    <t>±33.70</t>
  </si>
  <si>
    <t>±42.22</t>
  </si>
  <si>
    <t>±4.01</t>
  </si>
  <si>
    <t>±0.17</t>
  </si>
  <si>
    <t>±0.21</t>
  </si>
  <si>
    <t>±5.50</t>
  </si>
  <si>
    <t>±0.15</t>
  </si>
  <si>
    <t>±1.40</t>
  </si>
  <si>
    <t>±4.70</t>
  </si>
  <si>
    <t>±1.70</t>
  </si>
  <si>
    <t>±0.25</t>
  </si>
  <si>
    <t>±1.65</t>
  </si>
  <si>
    <t>±0.35</t>
  </si>
  <si>
    <t>±1.55</t>
  </si>
  <si>
    <t>±41</t>
  </si>
  <si>
    <t>±2232</t>
  </si>
  <si>
    <t>±0.85</t>
  </si>
  <si>
    <t>±1.75</t>
  </si>
  <si>
    <t>±0.04</t>
  </si>
  <si>
    <t>±0</t>
  </si>
  <si>
    <t>±0.02</t>
  </si>
  <si>
    <t>±0.53</t>
  </si>
  <si>
    <t>±3.60</t>
  </si>
  <si>
    <t>±0.18</t>
  </si>
  <si>
    <t>±137</t>
  </si>
  <si>
    <t>±66.25</t>
  </si>
  <si>
    <t>±30.00</t>
  </si>
  <si>
    <t>±0.50</t>
  </si>
  <si>
    <t>±1.80</t>
  </si>
  <si>
    <t>±51.98</t>
  </si>
  <si>
    <t>±6.36</t>
  </si>
  <si>
    <t>±1.42</t>
  </si>
  <si>
    <t>±2.78</t>
  </si>
  <si>
    <t>±1.87</t>
  </si>
  <si>
    <t>±0.23</t>
  </si>
  <si>
    <t>±2.08</t>
  </si>
  <si>
    <t>±5.11</t>
  </si>
  <si>
    <t>±8</t>
  </si>
  <si>
    <t>±18</t>
  </si>
  <si>
    <t>±6.39</t>
  </si>
  <si>
    <t>±1.16</t>
  </si>
  <si>
    <t>±2.10</t>
  </si>
  <si>
    <t>±2.60</t>
  </si>
  <si>
    <t>±26</t>
  </si>
  <si>
    <t>±0.20</t>
  </si>
  <si>
    <t>±3.86</t>
  </si>
  <si>
    <t>±4.33</t>
  </si>
  <si>
    <t>±0.13</t>
  </si>
  <si>
    <t>±31.22</t>
  </si>
  <si>
    <t>±25.77</t>
  </si>
  <si>
    <t>±28.48</t>
  </si>
  <si>
    <t>±4.27</t>
  </si>
  <si>
    <t>±0.61</t>
  </si>
  <si>
    <t>±0.62</t>
  </si>
  <si>
    <t>±61.27</t>
  </si>
  <si>
    <t>±7.01</t>
  </si>
  <si>
    <t>±1.84</t>
  </si>
  <si>
    <t>±2.46</t>
  </si>
  <si>
    <t>±2.06</t>
  </si>
  <si>
    <t>±0.11</t>
  </si>
  <si>
    <t>±6.69</t>
  </si>
  <si>
    <t>±17</t>
  </si>
  <si>
    <t>±840</t>
  </si>
  <si>
    <t>±14.59</t>
  </si>
  <si>
    <t>±0.07</t>
  </si>
  <si>
    <t>±2.09</t>
  </si>
  <si>
    <t>±2.35</t>
  </si>
  <si>
    <t>±23</t>
  </si>
  <si>
    <t>±3.06</t>
  </si>
  <si>
    <t>±5.60</t>
  </si>
  <si>
    <t>±53</t>
  </si>
  <si>
    <t>±69</t>
  </si>
  <si>
    <t>±37</t>
  </si>
  <si>
    <t>±46</t>
  </si>
  <si>
    <t>±5</t>
  </si>
  <si>
    <t>±0.70</t>
  </si>
  <si>
    <t>±0.60</t>
  </si>
  <si>
    <t>±0.39</t>
  </si>
  <si>
    <t>±0.96</t>
  </si>
  <si>
    <t>±0.75</t>
  </si>
  <si>
    <t>±0.86</t>
  </si>
  <si>
    <t>±0.57</t>
  </si>
  <si>
    <t>±0.82</t>
  </si>
  <si>
    <t>±15.10</t>
  </si>
  <si>
    <t>±2.65</t>
  </si>
  <si>
    <t>±0.69</t>
  </si>
  <si>
    <t>±0.80</t>
  </si>
  <si>
    <t>±5.97</t>
  </si>
  <si>
    <t>±0.12</t>
  </si>
  <si>
    <t>±227.03%</t>
  </si>
  <si>
    <t>±6.00%</t>
  </si>
  <si>
    <t>±327.64%</t>
  </si>
  <si>
    <t>±6.12%</t>
  </si>
  <si>
    <t>±5.39%</t>
  </si>
  <si>
    <t>±2.10%</t>
  </si>
  <si>
    <t>±6.87%</t>
  </si>
  <si>
    <t>±10.25%</t>
  </si>
  <si>
    <t>±42.33%</t>
  </si>
  <si>
    <t>±2.94%</t>
  </si>
  <si>
    <t>±1.50%</t>
  </si>
  <si>
    <t>±3.18%</t>
  </si>
  <si>
    <t>±4.21%</t>
  </si>
  <si>
    <t>±6.03%</t>
  </si>
  <si>
    <t>±1.07%</t>
  </si>
  <si>
    <t>±1.24%</t>
  </si>
  <si>
    <t>±4.60</t>
  </si>
  <si>
    <t>±4.46</t>
  </si>
  <si>
    <t>±1.35</t>
  </si>
  <si>
    <t>±6.60</t>
  </si>
  <si>
    <t>±2.45</t>
  </si>
  <si>
    <t>±979.37%</t>
  </si>
  <si>
    <t>±278.94%</t>
  </si>
  <si>
    <t>±17.00%</t>
  </si>
  <si>
    <t>±14.58%</t>
  </si>
  <si>
    <t>±3.64%</t>
  </si>
  <si>
    <t>±12.14%</t>
  </si>
  <si>
    <t>±5.31%</t>
  </si>
  <si>
    <t>±1.43%</t>
  </si>
  <si>
    <t>±21.00%</t>
  </si>
  <si>
    <t>±1.80%</t>
  </si>
  <si>
    <t>±5.69%</t>
  </si>
  <si>
    <t>±0.00%</t>
  </si>
  <si>
    <t>±8.28%</t>
  </si>
  <si>
    <t>±4.29%</t>
  </si>
  <si>
    <t>±0.13%</t>
  </si>
  <si>
    <t>±12.86%</t>
  </si>
  <si>
    <t>±0.76</t>
  </si>
  <si>
    <t>±0.83</t>
  </si>
  <si>
    <t>±0.26</t>
  </si>
  <si>
    <t>±6.84</t>
  </si>
  <si>
    <t>±2.34</t>
  </si>
  <si>
    <t>±57.22</t>
  </si>
  <si>
    <t>±0.66</t>
  </si>
  <si>
    <t>±0.22</t>
  </si>
  <si>
    <t>±8.32</t>
  </si>
  <si>
    <t>±1.60</t>
  </si>
  <si>
    <t>±640.90%</t>
  </si>
  <si>
    <t>±2.24%</t>
  </si>
  <si>
    <t>±127.78%</t>
  </si>
  <si>
    <t>±9.68%</t>
  </si>
  <si>
    <t>±5.42%</t>
  </si>
  <si>
    <t>±4.48%</t>
  </si>
  <si>
    <t>±13.12%</t>
  </si>
  <si>
    <t>±14.08%</t>
  </si>
  <si>
    <t>±154.25%</t>
  </si>
  <si>
    <t>±2.17%</t>
  </si>
  <si>
    <t>±0.64%</t>
  </si>
  <si>
    <t>±1.56%</t>
  </si>
  <si>
    <t>±3.22%</t>
  </si>
  <si>
    <t>±4.07%</t>
  </si>
  <si>
    <t>±1.14%</t>
  </si>
  <si>
    <t>±4.34%</t>
  </si>
  <si>
    <t>±6.24%</t>
  </si>
  <si>
    <t>±0.40</t>
  </si>
  <si>
    <t>±8.46</t>
  </si>
  <si>
    <t>±4.19</t>
  </si>
  <si>
    <t>±63.09</t>
  </si>
  <si>
    <t>±2.33</t>
  </si>
  <si>
    <t>±0.63</t>
  </si>
  <si>
    <t>±0.59</t>
  </si>
  <si>
    <t>±0.71</t>
  </si>
  <si>
    <t>±7.47</t>
  </si>
  <si>
    <t>±1.38</t>
  </si>
  <si>
    <t>±552.37%</t>
  </si>
  <si>
    <t>±105.06%</t>
  </si>
  <si>
    <t>±291.80%</t>
  </si>
  <si>
    <t>±6.30%</t>
  </si>
  <si>
    <t>±7.22%</t>
  </si>
  <si>
    <t>±13.05%</t>
  </si>
  <si>
    <t>±13.83%</t>
  </si>
  <si>
    <t>±122.55%</t>
  </si>
  <si>
    <t>±2.80%</t>
  </si>
  <si>
    <t>±2.21%</t>
  </si>
  <si>
    <t>±3.44%</t>
  </si>
  <si>
    <t>±4.60%</t>
  </si>
  <si>
    <t>±6.63%</t>
  </si>
  <si>
    <t>±1.37%</t>
  </si>
  <si>
    <t>±5.03%</t>
  </si>
  <si>
    <t>±6.01%</t>
  </si>
  <si>
    <t>±106.70</t>
  </si>
  <si>
    <t>±0.30</t>
  </si>
  <si>
    <t>±0.51</t>
  </si>
  <si>
    <t>±7.83</t>
  </si>
  <si>
    <t>±4.66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</si>
</sst>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0000"/>
  </numFmts>
  <fonts count="9"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b/>
      <sz val="13"/>
      <color theme="1"/>
      <name val="Calibri"/>
      <family val="2"/>
      <scheme val="minor"/>
    </font>
    <font>
      <i/>
      <sz val="11"/>
      <color theme="1"/>
      <name val="Calibri"/>
      <family val="2"/>
      <scheme val="minor"/>
    </font>
    <font>
      <sz val="11"/>
      <color rgb="FF000000"/>
      <name val="Calibri"/>
      <family val="2"/>
      <scheme val="minor"/>
    </font>
    <font>
      <sz val="18"/>
      <color theme="0"/>
      <name val="Calibri"/>
      <family val="2"/>
      <scheme val="minor"/>
    </font>
  </fonts>
  <fills count="19">
    <fill>
      <patternFill patternType="none"/>
    </fill>
    <fill>
      <patternFill patternType="gray125"/>
    </fill>
    <fill>
      <patternFill patternType="solid">
        <fgColor theme="6" tint="0.79998168889431442"/>
        <bgColor indexed="64"/>
      </patternFill>
    </fill>
    <fill>
      <patternFill patternType="solid">
        <fgColor theme="2" tint="-9.9978637043366805E-2"/>
        <bgColor indexed="64"/>
      </patternFill>
    </fill>
    <fill>
      <patternFill patternType="solid">
        <fgColor theme="6" tint="0.39997558519241921"/>
        <bgColor indexed="64"/>
      </patternFill>
    </fill>
    <fill>
      <patternFill patternType="solid">
        <fgColor theme="5"/>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7"/>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9"/>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1" tint="0.499984740745262"/>
        <bgColor indexed="64"/>
      </patternFill>
    </fill>
    <fill>
      <patternFill patternType="solid">
        <fgColor theme="3" tint="-0.499984740745262"/>
        <bgColor indexed="64"/>
      </patternFill>
    </fill>
  </fills>
  <borders count="39">
    <border>
      <left/>
      <right/>
      <top/>
      <bottom/>
      <diagonal/>
    </border>
    <border>
      <left/>
      <right/>
      <top/>
      <bottom style="medium">
        <color indexed="64"/>
      </bottom>
      <diagonal/>
    </border>
    <border>
      <left/>
      <right style="double">
        <color indexed="64"/>
      </right>
      <top/>
      <bottom style="medium">
        <color indexed="64"/>
      </bottom>
      <diagonal/>
    </border>
    <border>
      <left/>
      <right style="double">
        <color indexed="64"/>
      </right>
      <top/>
      <bottom/>
      <diagonal/>
    </border>
    <border>
      <left/>
      <right style="dotted">
        <color indexed="64"/>
      </right>
      <top/>
      <bottom style="medium">
        <color indexed="64"/>
      </bottom>
      <diagonal/>
    </border>
    <border>
      <left style="dotted">
        <color indexed="64"/>
      </left>
      <right style="dotted">
        <color indexed="64"/>
      </right>
      <top/>
      <bottom style="medium">
        <color indexed="64"/>
      </bottom>
      <diagonal/>
    </border>
    <border>
      <left style="double">
        <color indexed="64"/>
      </left>
      <right style="double">
        <color indexed="64"/>
      </right>
      <top/>
      <bottom/>
      <diagonal/>
    </border>
    <border>
      <left/>
      <right style="hair">
        <color indexed="64"/>
      </right>
      <top/>
      <bottom style="medium">
        <color indexed="64"/>
      </bottom>
      <diagonal/>
    </border>
    <border>
      <left style="hair">
        <color indexed="64"/>
      </left>
      <right style="hair">
        <color indexed="64"/>
      </right>
      <top/>
      <bottom style="medium">
        <color indexed="64"/>
      </bottom>
      <diagonal/>
    </border>
    <border>
      <left/>
      <right style="dotted">
        <color indexed="64"/>
      </right>
      <top/>
      <bottom/>
      <diagonal/>
    </border>
    <border>
      <left style="dotted">
        <color indexed="64"/>
      </left>
      <right style="dotted">
        <color indexed="64"/>
      </right>
      <top/>
      <bottom/>
      <diagonal/>
    </border>
    <border>
      <left/>
      <right style="hair">
        <color indexed="64"/>
      </right>
      <top/>
      <bottom/>
      <diagonal/>
    </border>
    <border>
      <left style="hair">
        <color indexed="64"/>
      </left>
      <right style="hair">
        <color indexed="64"/>
      </right>
      <top/>
      <bottom/>
      <diagonal/>
    </border>
    <border>
      <left/>
      <right/>
      <top/>
      <bottom style="thin">
        <color indexed="64"/>
      </bottom>
      <diagonal/>
    </border>
    <border>
      <left/>
      <right style="double">
        <color indexed="64"/>
      </right>
      <top/>
      <bottom style="thin">
        <color indexed="64"/>
      </bottom>
      <diagonal/>
    </border>
    <border>
      <left/>
      <right style="dotted">
        <color indexed="64"/>
      </right>
      <top/>
      <bottom style="thin">
        <color indexed="64"/>
      </bottom>
      <diagonal/>
    </border>
    <border>
      <left style="dotted">
        <color indexed="64"/>
      </left>
      <right style="dotted">
        <color indexed="64"/>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right style="double">
        <color indexed="64"/>
      </right>
      <top style="thin">
        <color indexed="64"/>
      </top>
      <bottom/>
      <diagonal/>
    </border>
    <border>
      <left style="hair">
        <color indexed="64"/>
      </left>
      <right style="hair">
        <color indexed="64"/>
      </right>
      <top style="thin">
        <color indexed="64"/>
      </top>
      <bottom/>
      <diagonal/>
    </border>
    <border>
      <left/>
      <right/>
      <top/>
      <bottom style="slantDashDot">
        <color indexed="64"/>
      </bottom>
      <diagonal/>
    </border>
    <border>
      <left/>
      <right style="double">
        <color indexed="64"/>
      </right>
      <top/>
      <bottom style="slantDashDot">
        <color indexed="64"/>
      </bottom>
      <diagonal/>
    </border>
    <border>
      <left/>
      <right style="dotted">
        <color indexed="64"/>
      </right>
      <top/>
      <bottom style="slantDashDot">
        <color indexed="64"/>
      </bottom>
      <diagonal/>
    </border>
    <border>
      <left style="dotted">
        <color indexed="64"/>
      </left>
      <right style="dotted">
        <color indexed="64"/>
      </right>
      <top/>
      <bottom style="slantDashDot">
        <color indexed="64"/>
      </bottom>
      <diagonal/>
    </border>
    <border>
      <left/>
      <right style="hair">
        <color indexed="64"/>
      </right>
      <top/>
      <bottom style="slantDashDot">
        <color indexed="64"/>
      </bottom>
      <diagonal/>
    </border>
    <border>
      <left style="hair">
        <color indexed="64"/>
      </left>
      <right style="hair">
        <color indexed="64"/>
      </right>
      <top/>
      <bottom style="slantDashDot">
        <color indexed="64"/>
      </bottom>
      <diagonal/>
    </border>
    <border>
      <left/>
      <right/>
      <top style="slantDashDot">
        <color indexed="64"/>
      </top>
      <bottom/>
      <diagonal/>
    </border>
    <border>
      <left/>
      <right style="double">
        <color indexed="64"/>
      </right>
      <top style="slantDashDot">
        <color indexed="64"/>
      </top>
      <bottom/>
      <diagonal/>
    </border>
    <border>
      <left style="dotted">
        <color indexed="64"/>
      </left>
      <right style="double">
        <color indexed="64"/>
      </right>
      <top/>
      <bottom/>
      <diagonal/>
    </border>
    <border>
      <left/>
      <right style="hair">
        <color indexed="64"/>
      </right>
      <top style="slantDashDot">
        <color indexed="64"/>
      </top>
      <bottom/>
      <diagonal/>
    </border>
    <border>
      <left style="hair">
        <color indexed="64"/>
      </left>
      <right style="hair">
        <color indexed="64"/>
      </right>
      <top style="slantDashDot">
        <color indexed="64"/>
      </top>
      <bottom/>
      <diagonal/>
    </border>
    <border>
      <left style="dotted">
        <color indexed="64"/>
      </left>
      <right/>
      <top/>
      <bottom style="medium">
        <color indexed="64"/>
      </bottom>
      <diagonal/>
    </border>
    <border>
      <left style="dotted">
        <color indexed="64"/>
      </left>
      <right style="double">
        <color indexed="64"/>
      </right>
      <top/>
      <bottom style="medium">
        <color indexed="64"/>
      </bottom>
      <diagonal/>
    </border>
    <border>
      <left style="hair">
        <color indexed="64"/>
      </left>
      <right/>
      <top/>
      <bottom style="medium">
        <color indexed="64"/>
      </bottom>
      <diagonal/>
    </border>
    <border>
      <left/>
      <right/>
      <top style="medium">
        <color indexed="64"/>
      </top>
      <bottom/>
      <diagonal/>
    </border>
    <border>
      <left/>
      <right style="double">
        <color indexed="64"/>
      </right>
      <top style="medium">
        <color indexed="64"/>
      </top>
      <bottom/>
      <diagonal/>
    </border>
    <border>
      <left style="dotted">
        <color indexed="64"/>
      </left>
      <right style="thin">
        <color indexed="64"/>
      </right>
      <top/>
      <bottom/>
      <diagonal/>
    </border>
    <border>
      <left style="dotted">
        <color indexed="64"/>
      </left>
      <right style="dotted">
        <color indexed="64"/>
      </right>
      <top style="medium">
        <color indexed="64"/>
      </top>
      <bottom/>
      <diagonal/>
    </border>
  </borders>
  <cellStyleXfs count="3">
    <xf numFmtId="0" fontId="0" fillId="0" borderId="0"/>
    <xf numFmtId="9" fontId="1" fillId="0" borderId="0" applyFont="0" applyFill="0" applyBorder="0" applyAlignment="0" applyProtection="0"/>
    <xf numFmtId="0" fontId="4" fillId="0" borderId="0"/>
  </cellStyleXfs>
  <cellXfs count="269">
    <xf numFmtId="0" fontId="0" fillId="0" borderId="0" xfId="0"/>
    <xf numFmtId="0" fontId="2" fillId="2" borderId="1" xfId="0" applyFont="1" applyFill="1" applyBorder="1" applyAlignment="1">
      <alignment horizontal="center"/>
    </xf>
    <xf numFmtId="0" fontId="2" fillId="2" borderId="1" xfId="0" applyFont="1" applyFill="1" applyBorder="1"/>
    <xf numFmtId="0" fontId="2" fillId="2" borderId="2" xfId="0" applyFont="1" applyFill="1" applyBorder="1"/>
    <xf numFmtId="0" fontId="0" fillId="2" borderId="4" xfId="0" applyFill="1" applyBorder="1" applyAlignment="1">
      <alignment horizontal="center" wrapText="1"/>
    </xf>
    <xf numFmtId="0" fontId="0" fillId="2" borderId="5" xfId="0" applyFill="1" applyBorder="1" applyAlignment="1">
      <alignment horizontal="center" wrapText="1"/>
    </xf>
    <xf numFmtId="0" fontId="0" fillId="2" borderId="2" xfId="0" applyFill="1" applyBorder="1" applyAlignment="1">
      <alignment horizontal="center" wrapText="1"/>
    </xf>
    <xf numFmtId="49" fontId="0" fillId="2" borderId="2" xfId="0" applyNumberFormat="1" applyFill="1" applyBorder="1" applyAlignment="1">
      <alignment horizontal="left"/>
    </xf>
    <xf numFmtId="0" fontId="0" fillId="3" borderId="7" xfId="0" applyFill="1" applyBorder="1" applyAlignment="1">
      <alignment horizontal="center" wrapText="1"/>
    </xf>
    <xf numFmtId="0" fontId="0" fillId="3" borderId="8" xfId="0" applyFill="1" applyBorder="1" applyAlignment="1">
      <alignment horizontal="center" wrapText="1"/>
    </xf>
    <xf numFmtId="0" fontId="0" fillId="3" borderId="8" xfId="0" applyFill="1" applyBorder="1" applyAlignment="1">
      <alignment horizontal="center"/>
    </xf>
    <xf numFmtId="0" fontId="0" fillId="4" borderId="8" xfId="0" applyFill="1" applyBorder="1" applyAlignment="1">
      <alignment horizontal="center"/>
    </xf>
    <xf numFmtId="0" fontId="0" fillId="3" borderId="1" xfId="0" applyFill="1" applyBorder="1" applyAlignment="1">
      <alignment horizontal="center"/>
    </xf>
    <xf numFmtId="0" fontId="0" fillId="5" borderId="0" xfId="0" applyFill="1" applyAlignment="1">
      <alignment horizontal="center"/>
    </xf>
    <xf numFmtId="0" fontId="0" fillId="6" borderId="0" xfId="0" applyFill="1" applyAlignment="1">
      <alignment horizontal="center"/>
    </xf>
    <xf numFmtId="0" fontId="0" fillId="6" borderId="0" xfId="0" applyFill="1"/>
    <xf numFmtId="0" fontId="6" fillId="6" borderId="3" xfId="0" applyFont="1" applyFill="1" applyBorder="1"/>
    <xf numFmtId="0" fontId="0" fillId="7" borderId="9" xfId="0" applyFill="1" applyBorder="1" applyAlignment="1">
      <alignment horizontal="center"/>
    </xf>
    <xf numFmtId="2" fontId="0" fillId="7" borderId="10" xfId="0" applyNumberFormat="1" applyFill="1" applyBorder="1" applyAlignment="1">
      <alignment horizontal="center"/>
    </xf>
    <xf numFmtId="0" fontId="0" fillId="7" borderId="10" xfId="0" applyFill="1" applyBorder="1" applyAlignment="1">
      <alignment horizontal="center"/>
    </xf>
    <xf numFmtId="2" fontId="0" fillId="7" borderId="9" xfId="0" applyNumberFormat="1" applyFill="1" applyBorder="1" applyAlignment="1">
      <alignment horizontal="center"/>
    </xf>
    <xf numFmtId="2" fontId="0" fillId="7" borderId="3" xfId="0" applyNumberFormat="1" applyFill="1" applyBorder="1" applyAlignment="1">
      <alignment horizontal="center"/>
    </xf>
    <xf numFmtId="164" fontId="0" fillId="7" borderId="9" xfId="0" applyNumberFormat="1" applyFill="1" applyBorder="1" applyAlignment="1">
      <alignment horizontal="center"/>
    </xf>
    <xf numFmtId="164" fontId="0" fillId="7" borderId="10" xfId="0" applyNumberFormat="1" applyFill="1" applyBorder="1" applyAlignment="1">
      <alignment horizontal="center"/>
    </xf>
    <xf numFmtId="49" fontId="7" fillId="7" borderId="0" xfId="0" applyNumberFormat="1" applyFont="1" applyFill="1" applyAlignment="1">
      <alignment horizontal="left"/>
    </xf>
    <xf numFmtId="2" fontId="0" fillId="7" borderId="11" xfId="0" applyNumberFormat="1" applyFill="1" applyBorder="1" applyAlignment="1">
      <alignment horizontal="center"/>
    </xf>
    <xf numFmtId="0" fontId="0" fillId="7" borderId="12" xfId="0" applyFill="1" applyBorder="1" applyAlignment="1">
      <alignment horizontal="center"/>
    </xf>
    <xf numFmtId="2" fontId="0" fillId="7" borderId="12" xfId="0" applyNumberFormat="1" applyFill="1" applyBorder="1" applyAlignment="1">
      <alignment horizontal="center"/>
    </xf>
    <xf numFmtId="10" fontId="1" fillId="7" borderId="12" xfId="1" applyNumberFormat="1" applyFont="1" applyFill="1" applyBorder="1" applyAlignment="1">
      <alignment horizontal="center"/>
    </xf>
    <xf numFmtId="164" fontId="0" fillId="7" borderId="12" xfId="0" applyNumberFormat="1" applyFill="1" applyBorder="1" applyAlignment="1">
      <alignment horizontal="center"/>
    </xf>
    <xf numFmtId="10" fontId="0" fillId="7" borderId="12" xfId="1" applyNumberFormat="1" applyFont="1" applyFill="1" applyBorder="1" applyAlignment="1">
      <alignment horizontal="center"/>
    </xf>
    <xf numFmtId="10" fontId="0" fillId="7" borderId="12" xfId="0" applyNumberFormat="1" applyFill="1" applyBorder="1" applyAlignment="1">
      <alignment horizontal="center" vertical="center"/>
    </xf>
    <xf numFmtId="2" fontId="0" fillId="7" borderId="12" xfId="0" applyNumberFormat="1" applyFill="1" applyBorder="1" applyAlignment="1">
      <alignment horizontal="center" vertical="center"/>
    </xf>
    <xf numFmtId="0" fontId="0" fillId="8" borderId="9" xfId="0" applyFill="1" applyBorder="1" applyAlignment="1">
      <alignment horizontal="center"/>
    </xf>
    <xf numFmtId="2" fontId="0" fillId="8" borderId="10" xfId="0" applyNumberFormat="1" applyFill="1" applyBorder="1" applyAlignment="1">
      <alignment horizontal="center"/>
    </xf>
    <xf numFmtId="0" fontId="0" fillId="8" borderId="10" xfId="0" applyFill="1" applyBorder="1" applyAlignment="1">
      <alignment horizontal="center"/>
    </xf>
    <xf numFmtId="2" fontId="0" fillId="8" borderId="9" xfId="0" applyNumberFormat="1" applyFill="1" applyBorder="1" applyAlignment="1">
      <alignment horizontal="center"/>
    </xf>
    <xf numFmtId="2" fontId="0" fillId="8" borderId="3" xfId="0" applyNumberFormat="1" applyFill="1" applyBorder="1" applyAlignment="1">
      <alignment horizontal="center"/>
    </xf>
    <xf numFmtId="164" fontId="0" fillId="8" borderId="9" xfId="0" applyNumberFormat="1" applyFill="1" applyBorder="1" applyAlignment="1">
      <alignment horizontal="center"/>
    </xf>
    <xf numFmtId="164" fontId="0" fillId="8" borderId="10" xfId="0" applyNumberFormat="1" applyFill="1" applyBorder="1" applyAlignment="1">
      <alignment horizontal="center"/>
    </xf>
    <xf numFmtId="49" fontId="0" fillId="8" borderId="0" xfId="0" applyNumberFormat="1" applyFill="1" applyAlignment="1">
      <alignment horizontal="left"/>
    </xf>
    <xf numFmtId="2" fontId="0" fillId="8" borderId="11" xfId="0" applyNumberFormat="1" applyFill="1" applyBorder="1" applyAlignment="1">
      <alignment horizontal="center"/>
    </xf>
    <xf numFmtId="2" fontId="0" fillId="8" borderId="12" xfId="0" applyNumberFormat="1" applyFill="1" applyBorder="1" applyAlignment="1">
      <alignment horizontal="center"/>
    </xf>
    <xf numFmtId="0" fontId="0" fillId="8" borderId="12" xfId="0" applyFill="1" applyBorder="1" applyAlignment="1">
      <alignment horizontal="center"/>
    </xf>
    <xf numFmtId="10" fontId="1" fillId="8" borderId="12" xfId="1" applyNumberFormat="1" applyFont="1" applyFill="1" applyBorder="1" applyAlignment="1">
      <alignment horizontal="center"/>
    </xf>
    <xf numFmtId="164" fontId="0" fillId="8" borderId="12" xfId="0" applyNumberFormat="1" applyFill="1" applyBorder="1" applyAlignment="1">
      <alignment horizontal="center"/>
    </xf>
    <xf numFmtId="10" fontId="0" fillId="8" borderId="12" xfId="1" applyNumberFormat="1" applyFont="1" applyFill="1" applyBorder="1" applyAlignment="1">
      <alignment horizontal="center"/>
    </xf>
    <xf numFmtId="10" fontId="0" fillId="8" borderId="12" xfId="0" applyNumberFormat="1" applyFill="1" applyBorder="1" applyAlignment="1">
      <alignment horizontal="center" vertical="center"/>
    </xf>
    <xf numFmtId="2" fontId="0" fillId="8" borderId="12" xfId="0" applyNumberFormat="1" applyFill="1" applyBorder="1" applyAlignment="1">
      <alignment horizontal="center" vertical="center"/>
    </xf>
    <xf numFmtId="49" fontId="0" fillId="7" borderId="0" xfId="0" applyNumberFormat="1" applyFill="1" applyAlignment="1">
      <alignment horizontal="left"/>
    </xf>
    <xf numFmtId="49" fontId="7" fillId="8" borderId="0" xfId="0" applyNumberFormat="1" applyFont="1" applyFill="1" applyAlignment="1">
      <alignment horizontal="left"/>
    </xf>
    <xf numFmtId="0" fontId="0" fillId="5" borderId="13" xfId="0" applyFill="1" applyBorder="1" applyAlignment="1">
      <alignment horizontal="center"/>
    </xf>
    <xf numFmtId="0" fontId="0" fillId="6" borderId="13" xfId="0" applyFill="1" applyBorder="1" applyAlignment="1">
      <alignment horizontal="center"/>
    </xf>
    <xf numFmtId="0" fontId="0" fillId="6" borderId="13" xfId="0" applyFill="1" applyBorder="1"/>
    <xf numFmtId="0" fontId="6" fillId="6" borderId="14" xfId="0" applyFont="1" applyFill="1" applyBorder="1"/>
    <xf numFmtId="0" fontId="0" fillId="8" borderId="15" xfId="0" applyFill="1" applyBorder="1" applyAlignment="1">
      <alignment horizontal="center"/>
    </xf>
    <xf numFmtId="2" fontId="0" fillId="8" borderId="16" xfId="0" applyNumberFormat="1" applyFill="1" applyBorder="1" applyAlignment="1">
      <alignment horizontal="center"/>
    </xf>
    <xf numFmtId="0" fontId="0" fillId="8" borderId="16" xfId="0" applyFill="1" applyBorder="1" applyAlignment="1">
      <alignment horizontal="center"/>
    </xf>
    <xf numFmtId="2" fontId="0" fillId="8" borderId="15" xfId="0" applyNumberFormat="1" applyFill="1" applyBorder="1" applyAlignment="1">
      <alignment horizontal="center"/>
    </xf>
    <xf numFmtId="2" fontId="0" fillId="8" borderId="14" xfId="0" applyNumberFormat="1" applyFill="1" applyBorder="1" applyAlignment="1">
      <alignment horizontal="center"/>
    </xf>
    <xf numFmtId="164" fontId="0" fillId="8" borderId="15" xfId="0" applyNumberFormat="1" applyFill="1" applyBorder="1" applyAlignment="1">
      <alignment horizontal="center"/>
    </xf>
    <xf numFmtId="164" fontId="0" fillId="8" borderId="16" xfId="0" applyNumberFormat="1" applyFill="1" applyBorder="1" applyAlignment="1">
      <alignment horizontal="center"/>
    </xf>
    <xf numFmtId="49" fontId="0" fillId="8" borderId="14" xfId="0" applyNumberFormat="1" applyFill="1" applyBorder="1" applyAlignment="1">
      <alignment horizontal="left"/>
    </xf>
    <xf numFmtId="2" fontId="0" fillId="8" borderId="17" xfId="0" applyNumberFormat="1" applyFill="1" applyBorder="1" applyAlignment="1">
      <alignment horizontal="center"/>
    </xf>
    <xf numFmtId="0" fontId="0" fillId="8" borderId="18" xfId="0" applyFill="1" applyBorder="1" applyAlignment="1">
      <alignment horizontal="center"/>
    </xf>
    <xf numFmtId="10" fontId="1" fillId="8" borderId="18" xfId="1" applyNumberFormat="1" applyFont="1" applyFill="1" applyBorder="1" applyAlignment="1">
      <alignment horizontal="center"/>
    </xf>
    <xf numFmtId="164" fontId="0" fillId="8" borderId="18" xfId="0" applyNumberFormat="1" applyFill="1" applyBorder="1" applyAlignment="1">
      <alignment horizontal="center"/>
    </xf>
    <xf numFmtId="10" fontId="0" fillId="8" borderId="18" xfId="1" applyNumberFormat="1" applyFont="1" applyFill="1" applyBorder="1" applyAlignment="1">
      <alignment horizontal="center"/>
    </xf>
    <xf numFmtId="2" fontId="0" fillId="8" borderId="18" xfId="0" applyNumberFormat="1" applyFill="1" applyBorder="1" applyAlignment="1">
      <alignment horizontal="center"/>
    </xf>
    <xf numFmtId="10" fontId="0" fillId="8" borderId="18" xfId="0" applyNumberFormat="1" applyFill="1" applyBorder="1" applyAlignment="1">
      <alignment horizontal="center" vertical="center"/>
    </xf>
    <xf numFmtId="2" fontId="0" fillId="8" borderId="18" xfId="0" applyNumberFormat="1" applyFill="1" applyBorder="1" applyAlignment="1">
      <alignment horizontal="center" vertical="center"/>
    </xf>
    <xf numFmtId="0" fontId="0" fillId="9" borderId="0" xfId="0" applyFill="1" applyAlignment="1">
      <alignment horizontal="center"/>
    </xf>
    <xf numFmtId="0" fontId="0" fillId="10" borderId="0" xfId="0" applyFill="1" applyAlignment="1">
      <alignment horizontal="center"/>
    </xf>
    <xf numFmtId="0" fontId="0" fillId="10" borderId="0" xfId="0" applyFill="1"/>
    <xf numFmtId="0" fontId="6" fillId="10" borderId="19" xfId="0" applyFont="1" applyFill="1" applyBorder="1"/>
    <xf numFmtId="0" fontId="0" fillId="11" borderId="9" xfId="0" applyFill="1" applyBorder="1" applyAlignment="1">
      <alignment horizontal="center"/>
    </xf>
    <xf numFmtId="2" fontId="0" fillId="11" borderId="10" xfId="0" applyNumberFormat="1" applyFill="1" applyBorder="1" applyAlignment="1">
      <alignment horizontal="center"/>
    </xf>
    <xf numFmtId="0" fontId="0" fillId="11" borderId="10" xfId="0" applyFill="1" applyBorder="1" applyAlignment="1">
      <alignment horizontal="center"/>
    </xf>
    <xf numFmtId="2" fontId="0" fillId="11" borderId="9" xfId="0" applyNumberFormat="1" applyFill="1" applyBorder="1" applyAlignment="1">
      <alignment horizontal="center"/>
    </xf>
    <xf numFmtId="2" fontId="0" fillId="11" borderId="3" xfId="0" applyNumberFormat="1" applyFill="1" applyBorder="1" applyAlignment="1">
      <alignment horizontal="center"/>
    </xf>
    <xf numFmtId="164" fontId="0" fillId="11" borderId="9" xfId="0" applyNumberFormat="1" applyFill="1" applyBorder="1" applyAlignment="1">
      <alignment horizontal="center"/>
    </xf>
    <xf numFmtId="164" fontId="0" fillId="11" borderId="10" xfId="0" applyNumberFormat="1" applyFill="1" applyBorder="1" applyAlignment="1">
      <alignment horizontal="center"/>
    </xf>
    <xf numFmtId="49" fontId="0" fillId="11" borderId="3" xfId="0" applyNumberFormat="1" applyFill="1" applyBorder="1" applyAlignment="1">
      <alignment horizontal="left"/>
    </xf>
    <xf numFmtId="2" fontId="0" fillId="11" borderId="11" xfId="0" applyNumberFormat="1" applyFill="1" applyBorder="1" applyAlignment="1">
      <alignment horizontal="center"/>
    </xf>
    <xf numFmtId="2" fontId="0" fillId="11" borderId="20" xfId="0" applyNumberFormat="1" applyFill="1" applyBorder="1" applyAlignment="1">
      <alignment horizontal="center"/>
    </xf>
    <xf numFmtId="0" fontId="0" fillId="11" borderId="12" xfId="0" applyFill="1" applyBorder="1" applyAlignment="1">
      <alignment horizontal="center"/>
    </xf>
    <xf numFmtId="10" fontId="1" fillId="11" borderId="12" xfId="1" applyNumberFormat="1" applyFont="1" applyFill="1" applyBorder="1" applyAlignment="1">
      <alignment horizontal="center"/>
    </xf>
    <xf numFmtId="164" fontId="0" fillId="11" borderId="12" xfId="0" applyNumberFormat="1" applyFill="1" applyBorder="1" applyAlignment="1">
      <alignment horizontal="center"/>
    </xf>
    <xf numFmtId="10" fontId="0" fillId="11" borderId="12" xfId="1" applyNumberFormat="1" applyFont="1" applyFill="1" applyBorder="1" applyAlignment="1">
      <alignment horizontal="center"/>
    </xf>
    <xf numFmtId="2" fontId="0" fillId="11" borderId="12" xfId="0" applyNumberFormat="1" applyFill="1" applyBorder="1" applyAlignment="1">
      <alignment horizontal="center"/>
    </xf>
    <xf numFmtId="10" fontId="0" fillId="11" borderId="12" xfId="0" applyNumberFormat="1" applyFill="1" applyBorder="1" applyAlignment="1">
      <alignment horizontal="center" vertical="center"/>
    </xf>
    <xf numFmtId="2" fontId="0" fillId="11" borderId="12" xfId="0" applyNumberFormat="1" applyFill="1" applyBorder="1" applyAlignment="1">
      <alignment horizontal="center" vertical="center"/>
    </xf>
    <xf numFmtId="0" fontId="0" fillId="9" borderId="13" xfId="0" applyFill="1" applyBorder="1" applyAlignment="1">
      <alignment horizontal="center"/>
    </xf>
    <xf numFmtId="0" fontId="0" fillId="10" borderId="13" xfId="0" applyFill="1" applyBorder="1" applyAlignment="1">
      <alignment horizontal="center"/>
    </xf>
    <xf numFmtId="0" fontId="0" fillId="10" borderId="13" xfId="0" applyFill="1" applyBorder="1"/>
    <xf numFmtId="0" fontId="6" fillId="10" borderId="3" xfId="0" applyFont="1" applyFill="1" applyBorder="1"/>
    <xf numFmtId="0" fontId="0" fillId="12" borderId="15" xfId="0" applyFill="1" applyBorder="1" applyAlignment="1">
      <alignment horizontal="center"/>
    </xf>
    <xf numFmtId="2" fontId="0" fillId="12" borderId="16" xfId="0" applyNumberFormat="1" applyFill="1" applyBorder="1" applyAlignment="1">
      <alignment horizontal="center"/>
    </xf>
    <xf numFmtId="0" fontId="0" fillId="12" borderId="16" xfId="0" applyFill="1" applyBorder="1" applyAlignment="1">
      <alignment horizontal="center"/>
    </xf>
    <xf numFmtId="2" fontId="0" fillId="12" borderId="15" xfId="0" applyNumberFormat="1" applyFill="1" applyBorder="1" applyAlignment="1">
      <alignment horizontal="center"/>
    </xf>
    <xf numFmtId="2" fontId="0" fillId="12" borderId="14" xfId="0" applyNumberFormat="1" applyFill="1" applyBorder="1" applyAlignment="1">
      <alignment horizontal="center"/>
    </xf>
    <xf numFmtId="164" fontId="0" fillId="12" borderId="15" xfId="0" applyNumberFormat="1" applyFill="1" applyBorder="1" applyAlignment="1">
      <alignment horizontal="center"/>
    </xf>
    <xf numFmtId="164" fontId="0" fillId="12" borderId="16" xfId="0" applyNumberFormat="1" applyFill="1" applyBorder="1" applyAlignment="1">
      <alignment horizontal="center"/>
    </xf>
    <xf numFmtId="49" fontId="4" fillId="12" borderId="14" xfId="2" applyNumberFormat="1" applyFill="1" applyBorder="1" applyAlignment="1">
      <alignment horizontal="left"/>
    </xf>
    <xf numFmtId="2" fontId="0" fillId="12" borderId="17" xfId="0" applyNumberFormat="1" applyFill="1" applyBorder="1" applyAlignment="1">
      <alignment horizontal="center"/>
    </xf>
    <xf numFmtId="2" fontId="0" fillId="12" borderId="12" xfId="0" applyNumberFormat="1" applyFill="1" applyBorder="1" applyAlignment="1">
      <alignment horizontal="center"/>
    </xf>
    <xf numFmtId="0" fontId="0" fillId="12" borderId="18" xfId="0" applyFill="1" applyBorder="1" applyAlignment="1">
      <alignment horizontal="center"/>
    </xf>
    <xf numFmtId="10" fontId="1" fillId="12" borderId="18" xfId="1" applyNumberFormat="1" applyFont="1" applyFill="1" applyBorder="1" applyAlignment="1">
      <alignment horizontal="center"/>
    </xf>
    <xf numFmtId="164" fontId="0" fillId="12" borderId="18" xfId="0" applyNumberFormat="1" applyFill="1" applyBorder="1" applyAlignment="1">
      <alignment horizontal="center"/>
    </xf>
    <xf numFmtId="10" fontId="0" fillId="12" borderId="18" xfId="1" applyNumberFormat="1" applyFont="1" applyFill="1" applyBorder="1" applyAlignment="1">
      <alignment horizontal="center"/>
    </xf>
    <xf numFmtId="2" fontId="0" fillId="12" borderId="18" xfId="0" applyNumberFormat="1" applyFill="1" applyBorder="1" applyAlignment="1">
      <alignment horizontal="center"/>
    </xf>
    <xf numFmtId="10" fontId="0" fillId="12" borderId="18" xfId="0" applyNumberFormat="1" applyFill="1" applyBorder="1" applyAlignment="1">
      <alignment horizontal="center" vertical="center"/>
    </xf>
    <xf numFmtId="2" fontId="0" fillId="12" borderId="18" xfId="0" applyNumberFormat="1" applyFill="1" applyBorder="1" applyAlignment="1">
      <alignment horizontal="center" vertical="center"/>
    </xf>
    <xf numFmtId="0" fontId="0" fillId="13" borderId="0" xfId="0" applyFill="1" applyAlignment="1">
      <alignment horizontal="center"/>
    </xf>
    <xf numFmtId="0" fontId="0" fillId="14" borderId="0" xfId="0" applyFill="1" applyAlignment="1">
      <alignment horizontal="center"/>
    </xf>
    <xf numFmtId="0" fontId="0" fillId="14" borderId="0" xfId="0" applyFill="1"/>
    <xf numFmtId="0" fontId="6" fillId="14" borderId="19" xfId="0" applyFont="1" applyFill="1" applyBorder="1"/>
    <xf numFmtId="0" fontId="0" fillId="15" borderId="9" xfId="0" applyFill="1" applyBorder="1" applyAlignment="1">
      <alignment horizontal="center"/>
    </xf>
    <xf numFmtId="2" fontId="0" fillId="15" borderId="10" xfId="0" applyNumberFormat="1" applyFill="1" applyBorder="1" applyAlignment="1">
      <alignment horizontal="center"/>
    </xf>
    <xf numFmtId="0" fontId="0" fillId="15" borderId="10" xfId="0" applyFill="1" applyBorder="1" applyAlignment="1">
      <alignment horizontal="center"/>
    </xf>
    <xf numFmtId="2" fontId="0" fillId="15" borderId="9" xfId="0" applyNumberFormat="1" applyFill="1" applyBorder="1" applyAlignment="1">
      <alignment horizontal="center"/>
    </xf>
    <xf numFmtId="2" fontId="0" fillId="15" borderId="3" xfId="0" applyNumberFormat="1" applyFill="1" applyBorder="1" applyAlignment="1">
      <alignment horizontal="center"/>
    </xf>
    <xf numFmtId="164" fontId="0" fillId="15" borderId="9" xfId="0" applyNumberFormat="1" applyFill="1" applyBorder="1" applyAlignment="1">
      <alignment horizontal="center"/>
    </xf>
    <xf numFmtId="164" fontId="0" fillId="15" borderId="10" xfId="0" applyNumberFormat="1" applyFill="1" applyBorder="1" applyAlignment="1">
      <alignment horizontal="center"/>
    </xf>
    <xf numFmtId="49" fontId="7" fillId="15" borderId="0" xfId="0" applyNumberFormat="1" applyFont="1" applyFill="1" applyAlignment="1">
      <alignment horizontal="left"/>
    </xf>
    <xf numFmtId="2" fontId="0" fillId="15" borderId="11" xfId="0" applyNumberFormat="1" applyFill="1" applyBorder="1" applyAlignment="1">
      <alignment horizontal="center"/>
    </xf>
    <xf numFmtId="2" fontId="0" fillId="15" borderId="20" xfId="0" applyNumberFormat="1" applyFill="1" applyBorder="1" applyAlignment="1">
      <alignment horizontal="center"/>
    </xf>
    <xf numFmtId="0" fontId="0" fillId="15" borderId="12" xfId="0" applyFill="1" applyBorder="1" applyAlignment="1">
      <alignment horizontal="center"/>
    </xf>
    <xf numFmtId="10" fontId="1" fillId="15" borderId="12" xfId="1" applyNumberFormat="1" applyFont="1" applyFill="1" applyBorder="1" applyAlignment="1">
      <alignment horizontal="center"/>
    </xf>
    <xf numFmtId="164" fontId="0" fillId="15" borderId="12" xfId="0" applyNumberFormat="1" applyFill="1" applyBorder="1" applyAlignment="1">
      <alignment horizontal="center"/>
    </xf>
    <xf numFmtId="10" fontId="0" fillId="15" borderId="12" xfId="1" applyNumberFormat="1" applyFont="1" applyFill="1" applyBorder="1" applyAlignment="1">
      <alignment horizontal="center"/>
    </xf>
    <xf numFmtId="2" fontId="0" fillId="15" borderId="12" xfId="0" applyNumberFormat="1" applyFill="1" applyBorder="1" applyAlignment="1">
      <alignment horizontal="center"/>
    </xf>
    <xf numFmtId="10" fontId="0" fillId="15" borderId="12" xfId="0" applyNumberFormat="1" applyFill="1" applyBorder="1" applyAlignment="1">
      <alignment horizontal="center" vertical="center"/>
    </xf>
    <xf numFmtId="2" fontId="0" fillId="15" borderId="12" xfId="0" applyNumberFormat="1" applyFill="1" applyBorder="1" applyAlignment="1">
      <alignment horizontal="center" vertical="center"/>
    </xf>
    <xf numFmtId="0" fontId="6" fillId="14" borderId="3" xfId="0" applyFont="1" applyFill="1" applyBorder="1"/>
    <xf numFmtId="0" fontId="0" fillId="16" borderId="9" xfId="0" applyFill="1" applyBorder="1" applyAlignment="1">
      <alignment horizontal="center"/>
    </xf>
    <xf numFmtId="2" fontId="0" fillId="16" borderId="10" xfId="0" applyNumberFormat="1" applyFill="1" applyBorder="1" applyAlignment="1">
      <alignment horizontal="center"/>
    </xf>
    <xf numFmtId="0" fontId="0" fillId="16" borderId="10" xfId="0" applyFill="1" applyBorder="1" applyAlignment="1">
      <alignment horizontal="center"/>
    </xf>
    <xf numFmtId="2" fontId="0" fillId="16" borderId="9" xfId="0" applyNumberFormat="1" applyFill="1" applyBorder="1" applyAlignment="1">
      <alignment horizontal="center"/>
    </xf>
    <xf numFmtId="2" fontId="0" fillId="16" borderId="3" xfId="0" applyNumberFormat="1" applyFill="1" applyBorder="1" applyAlignment="1">
      <alignment horizontal="center"/>
    </xf>
    <xf numFmtId="164" fontId="0" fillId="16" borderId="9" xfId="0" applyNumberFormat="1" applyFill="1" applyBorder="1" applyAlignment="1">
      <alignment horizontal="center"/>
    </xf>
    <xf numFmtId="164" fontId="0" fillId="16" borderId="10" xfId="0" applyNumberFormat="1" applyFill="1" applyBorder="1" applyAlignment="1">
      <alignment horizontal="center"/>
    </xf>
    <xf numFmtId="49" fontId="7" fillId="16" borderId="0" xfId="0" applyNumberFormat="1" applyFont="1" applyFill="1" applyAlignment="1">
      <alignment horizontal="left"/>
    </xf>
    <xf numFmtId="2" fontId="0" fillId="16" borderId="11" xfId="0" applyNumberFormat="1" applyFill="1" applyBorder="1" applyAlignment="1">
      <alignment horizontal="center"/>
    </xf>
    <xf numFmtId="2" fontId="0" fillId="16" borderId="12" xfId="0" applyNumberFormat="1" applyFill="1" applyBorder="1" applyAlignment="1">
      <alignment horizontal="center"/>
    </xf>
    <xf numFmtId="0" fontId="0" fillId="16" borderId="12" xfId="0" applyFill="1" applyBorder="1" applyAlignment="1">
      <alignment horizontal="center"/>
    </xf>
    <xf numFmtId="10" fontId="1" fillId="16" borderId="12" xfId="1" applyNumberFormat="1" applyFont="1" applyFill="1" applyBorder="1" applyAlignment="1">
      <alignment horizontal="center"/>
    </xf>
    <xf numFmtId="164" fontId="0" fillId="16" borderId="12" xfId="0" applyNumberFormat="1" applyFill="1" applyBorder="1" applyAlignment="1">
      <alignment horizontal="center"/>
    </xf>
    <xf numFmtId="10" fontId="0" fillId="16" borderId="12" xfId="1" applyNumberFormat="1" applyFont="1" applyFill="1" applyBorder="1" applyAlignment="1">
      <alignment horizontal="center"/>
    </xf>
    <xf numFmtId="10" fontId="0" fillId="16" borderId="12" xfId="0" applyNumberFormat="1" applyFill="1" applyBorder="1" applyAlignment="1">
      <alignment horizontal="center" vertical="center"/>
    </xf>
    <xf numFmtId="2" fontId="0" fillId="16" borderId="12" xfId="0" applyNumberFormat="1" applyFill="1" applyBorder="1" applyAlignment="1">
      <alignment horizontal="center" vertical="center"/>
    </xf>
    <xf numFmtId="49" fontId="0" fillId="15" borderId="0" xfId="0" applyNumberFormat="1" applyFill="1" applyAlignment="1">
      <alignment horizontal="left"/>
    </xf>
    <xf numFmtId="49" fontId="4" fillId="15" borderId="0" xfId="2" applyNumberFormat="1" applyFill="1" applyAlignment="1">
      <alignment horizontal="left"/>
    </xf>
    <xf numFmtId="49" fontId="4" fillId="16" borderId="0" xfId="2" applyNumberFormat="1" applyFill="1" applyAlignment="1">
      <alignment horizontal="left"/>
    </xf>
    <xf numFmtId="0" fontId="0" fillId="13" borderId="21" xfId="0" applyFill="1" applyBorder="1" applyAlignment="1">
      <alignment horizontal="center"/>
    </xf>
    <xf numFmtId="0" fontId="0" fillId="14" borderId="21" xfId="0" applyFill="1" applyBorder="1" applyAlignment="1">
      <alignment horizontal="center"/>
    </xf>
    <xf numFmtId="0" fontId="0" fillId="14" borderId="21" xfId="0" applyFill="1" applyBorder="1"/>
    <xf numFmtId="0" fontId="6" fillId="14" borderId="22" xfId="0" applyFont="1" applyFill="1" applyBorder="1"/>
    <xf numFmtId="0" fontId="0" fillId="16" borderId="23" xfId="0" applyFill="1" applyBorder="1" applyAlignment="1">
      <alignment horizontal="center"/>
    </xf>
    <xf numFmtId="2" fontId="0" fillId="16" borderId="24" xfId="0" applyNumberFormat="1" applyFill="1" applyBorder="1" applyAlignment="1">
      <alignment horizontal="center"/>
    </xf>
    <xf numFmtId="0" fontId="0" fillId="16" borderId="24" xfId="0" applyFill="1" applyBorder="1" applyAlignment="1">
      <alignment horizontal="center"/>
    </xf>
    <xf numFmtId="2" fontId="0" fillId="16" borderId="23" xfId="0" applyNumberFormat="1" applyFill="1" applyBorder="1" applyAlignment="1">
      <alignment horizontal="center"/>
    </xf>
    <xf numFmtId="2" fontId="0" fillId="16" borderId="22" xfId="0" applyNumberFormat="1" applyFill="1" applyBorder="1" applyAlignment="1">
      <alignment horizontal="center"/>
    </xf>
    <xf numFmtId="164" fontId="0" fillId="16" borderId="23" xfId="0" applyNumberFormat="1" applyFill="1" applyBorder="1" applyAlignment="1">
      <alignment horizontal="center"/>
    </xf>
    <xf numFmtId="49" fontId="0" fillId="16" borderId="0" xfId="0" applyNumberFormat="1" applyFill="1" applyAlignment="1">
      <alignment horizontal="left"/>
    </xf>
    <xf numFmtId="2" fontId="0" fillId="16" borderId="25" xfId="0" applyNumberFormat="1" applyFill="1" applyBorder="1" applyAlignment="1">
      <alignment horizontal="center"/>
    </xf>
    <xf numFmtId="2" fontId="0" fillId="16" borderId="26" xfId="0" applyNumberFormat="1" applyFill="1" applyBorder="1" applyAlignment="1">
      <alignment horizontal="center"/>
    </xf>
    <xf numFmtId="0" fontId="0" fillId="16" borderId="26" xfId="0" applyFill="1" applyBorder="1" applyAlignment="1">
      <alignment horizontal="center"/>
    </xf>
    <xf numFmtId="10" fontId="1" fillId="16" borderId="26" xfId="1" applyNumberFormat="1" applyFont="1" applyFill="1" applyBorder="1" applyAlignment="1">
      <alignment horizontal="center"/>
    </xf>
    <xf numFmtId="164" fontId="0" fillId="16" borderId="26" xfId="0" applyNumberFormat="1" applyFill="1" applyBorder="1" applyAlignment="1">
      <alignment horizontal="center"/>
    </xf>
    <xf numFmtId="10" fontId="0" fillId="16" borderId="26" xfId="1" applyNumberFormat="1" applyFont="1" applyFill="1" applyBorder="1" applyAlignment="1">
      <alignment horizontal="center"/>
    </xf>
    <xf numFmtId="10" fontId="0" fillId="16" borderId="26" xfId="0" applyNumberFormat="1" applyFill="1" applyBorder="1" applyAlignment="1">
      <alignment horizontal="center" vertical="center"/>
    </xf>
    <xf numFmtId="2" fontId="0" fillId="16" borderId="26" xfId="0" applyNumberFormat="1" applyFill="1" applyBorder="1" applyAlignment="1">
      <alignment horizontal="center" vertical="center"/>
    </xf>
    <xf numFmtId="1" fontId="2" fillId="6" borderId="9" xfId="0" applyNumberFormat="1" applyFont="1" applyFill="1" applyBorder="1" applyAlignment="1">
      <alignment horizontal="center"/>
    </xf>
    <xf numFmtId="2" fontId="2" fillId="6" borderId="10" xfId="0" applyNumberFormat="1" applyFont="1" applyFill="1" applyBorder="1" applyAlignment="1">
      <alignment horizontal="center" vertical="center"/>
    </xf>
    <xf numFmtId="1" fontId="2" fillId="6" borderId="10" xfId="0" applyNumberFormat="1" applyFont="1" applyFill="1" applyBorder="1" applyAlignment="1">
      <alignment horizontal="center" vertical="center"/>
    </xf>
    <xf numFmtId="2" fontId="2" fillId="6" borderId="29" xfId="0" applyNumberFormat="1" applyFont="1" applyFill="1" applyBorder="1" applyAlignment="1">
      <alignment horizontal="center" vertical="center"/>
    </xf>
    <xf numFmtId="164" fontId="2" fillId="6" borderId="30" xfId="0" applyNumberFormat="1" applyFont="1" applyFill="1" applyBorder="1" applyAlignment="1">
      <alignment horizontal="center"/>
    </xf>
    <xf numFmtId="164" fontId="2" fillId="6" borderId="31" xfId="0" applyNumberFormat="1" applyFont="1" applyFill="1" applyBorder="1" applyAlignment="1">
      <alignment horizontal="center"/>
    </xf>
    <xf numFmtId="49" fontId="0" fillId="17" borderId="28" xfId="0" applyNumberFormat="1" applyFill="1" applyBorder="1" applyAlignment="1">
      <alignment horizontal="left"/>
    </xf>
    <xf numFmtId="2" fontId="2" fillId="6" borderId="11" xfId="0" applyNumberFormat="1" applyFont="1" applyFill="1" applyBorder="1" applyAlignment="1">
      <alignment horizontal="center" vertical="center"/>
    </xf>
    <xf numFmtId="2" fontId="2" fillId="6" borderId="12" xfId="0" applyNumberFormat="1" applyFont="1" applyFill="1" applyBorder="1" applyAlignment="1">
      <alignment horizontal="center" vertical="center"/>
    </xf>
    <xf numFmtId="165" fontId="0" fillId="7" borderId="9" xfId="0" applyNumberFormat="1" applyFill="1" applyBorder="1" applyAlignment="1">
      <alignment horizontal="center"/>
    </xf>
    <xf numFmtId="2" fontId="0" fillId="7" borderId="10" xfId="0" applyNumberFormat="1" applyFill="1" applyBorder="1" applyAlignment="1">
      <alignment horizontal="center" vertical="center"/>
    </xf>
    <xf numFmtId="2" fontId="0" fillId="7" borderId="29" xfId="0" applyNumberFormat="1" applyFill="1" applyBorder="1" applyAlignment="1">
      <alignment horizontal="center" vertical="center"/>
    </xf>
    <xf numFmtId="164" fontId="0" fillId="7" borderId="11" xfId="0" applyNumberFormat="1" applyFill="1" applyBorder="1" applyAlignment="1">
      <alignment horizontal="center"/>
    </xf>
    <xf numFmtId="49" fontId="0" fillId="17" borderId="0" xfId="0" applyNumberFormat="1" applyFill="1" applyAlignment="1">
      <alignment horizontal="left"/>
    </xf>
    <xf numFmtId="2" fontId="0" fillId="7" borderId="11" xfId="0" applyNumberFormat="1" applyFill="1" applyBorder="1" applyAlignment="1">
      <alignment horizontal="center" vertical="center"/>
    </xf>
    <xf numFmtId="1" fontId="2" fillId="10" borderId="9" xfId="0" applyNumberFormat="1" applyFont="1" applyFill="1" applyBorder="1" applyAlignment="1">
      <alignment horizontal="center"/>
    </xf>
    <xf numFmtId="2" fontId="2" fillId="10" borderId="10" xfId="0" applyNumberFormat="1" applyFont="1" applyFill="1" applyBorder="1" applyAlignment="1">
      <alignment horizontal="center" vertical="center"/>
    </xf>
    <xf numFmtId="1" fontId="2" fillId="10" borderId="10" xfId="0" applyNumberFormat="1" applyFont="1" applyFill="1" applyBorder="1" applyAlignment="1">
      <alignment horizontal="center" vertical="center"/>
    </xf>
    <xf numFmtId="2" fontId="2" fillId="10" borderId="29" xfId="0" applyNumberFormat="1" applyFont="1" applyFill="1" applyBorder="1" applyAlignment="1">
      <alignment horizontal="center" vertical="center"/>
    </xf>
    <xf numFmtId="164" fontId="2" fillId="10" borderId="11" xfId="0" applyNumberFormat="1" applyFont="1" applyFill="1" applyBorder="1" applyAlignment="1">
      <alignment horizontal="center"/>
    </xf>
    <xf numFmtId="164" fontId="2" fillId="10" borderId="12" xfId="0" applyNumberFormat="1" applyFont="1" applyFill="1" applyBorder="1" applyAlignment="1">
      <alignment horizontal="center"/>
    </xf>
    <xf numFmtId="2" fontId="2" fillId="10" borderId="11" xfId="0" applyNumberFormat="1" applyFont="1" applyFill="1" applyBorder="1" applyAlignment="1">
      <alignment horizontal="center" vertical="center"/>
    </xf>
    <xf numFmtId="2" fontId="2" fillId="10" borderId="12" xfId="0" applyNumberFormat="1" applyFont="1" applyFill="1" applyBorder="1" applyAlignment="1">
      <alignment horizontal="center" vertical="center"/>
    </xf>
    <xf numFmtId="1" fontId="0" fillId="11" borderId="9" xfId="0" applyNumberFormat="1" applyFill="1" applyBorder="1" applyAlignment="1">
      <alignment horizontal="center"/>
    </xf>
    <xf numFmtId="2" fontId="0" fillId="11" borderId="10" xfId="0" applyNumberFormat="1" applyFill="1" applyBorder="1" applyAlignment="1">
      <alignment horizontal="center" vertical="center"/>
    </xf>
    <xf numFmtId="2" fontId="0" fillId="11" borderId="29" xfId="0" applyNumberFormat="1" applyFill="1" applyBorder="1" applyAlignment="1">
      <alignment horizontal="center" vertical="center"/>
    </xf>
    <xf numFmtId="164" fontId="0" fillId="11" borderId="11" xfId="0" applyNumberFormat="1" applyFill="1" applyBorder="1" applyAlignment="1">
      <alignment horizontal="center"/>
    </xf>
    <xf numFmtId="2" fontId="0" fillId="11" borderId="11" xfId="0" applyNumberFormat="1" applyFill="1" applyBorder="1" applyAlignment="1">
      <alignment horizontal="center" vertical="center"/>
    </xf>
    <xf numFmtId="1" fontId="2" fillId="14" borderId="9" xfId="0" applyNumberFormat="1" applyFont="1" applyFill="1" applyBorder="1" applyAlignment="1">
      <alignment horizontal="center"/>
    </xf>
    <xf numFmtId="2" fontId="2" fillId="14" borderId="10" xfId="0" applyNumberFormat="1" applyFont="1" applyFill="1" applyBorder="1" applyAlignment="1">
      <alignment horizontal="center" vertical="center"/>
    </xf>
    <xf numFmtId="1" fontId="2" fillId="14" borderId="10" xfId="0" applyNumberFormat="1" applyFont="1" applyFill="1" applyBorder="1" applyAlignment="1">
      <alignment horizontal="center" vertical="center"/>
    </xf>
    <xf numFmtId="2" fontId="2" fillId="14" borderId="29" xfId="0" applyNumberFormat="1" applyFont="1" applyFill="1" applyBorder="1" applyAlignment="1">
      <alignment horizontal="center" vertical="center"/>
    </xf>
    <xf numFmtId="164" fontId="2" fillId="14" borderId="11" xfId="0" applyNumberFormat="1" applyFont="1" applyFill="1" applyBorder="1" applyAlignment="1">
      <alignment horizontal="center"/>
    </xf>
    <xf numFmtId="164" fontId="2" fillId="14" borderId="12" xfId="0" applyNumberFormat="1" applyFont="1" applyFill="1" applyBorder="1" applyAlignment="1">
      <alignment horizontal="center"/>
    </xf>
    <xf numFmtId="49" fontId="0" fillId="17" borderId="3" xfId="0" applyNumberFormat="1" applyFill="1" applyBorder="1" applyAlignment="1">
      <alignment horizontal="left"/>
    </xf>
    <xf numFmtId="2" fontId="2" fillId="14" borderId="11" xfId="0" applyNumberFormat="1" applyFont="1" applyFill="1" applyBorder="1" applyAlignment="1">
      <alignment horizontal="center" vertical="center"/>
    </xf>
    <xf numFmtId="2" fontId="2" fillId="14" borderId="12" xfId="0" applyNumberFormat="1" applyFont="1" applyFill="1" applyBorder="1" applyAlignment="1">
      <alignment horizontal="center" vertical="center"/>
    </xf>
    <xf numFmtId="1" fontId="0" fillId="15" borderId="1" xfId="0" applyNumberFormat="1" applyFill="1" applyBorder="1" applyAlignment="1">
      <alignment horizontal="center"/>
    </xf>
    <xf numFmtId="2" fontId="0" fillId="15" borderId="32" xfId="0" applyNumberFormat="1" applyFill="1" applyBorder="1" applyAlignment="1">
      <alignment horizontal="center" vertical="center"/>
    </xf>
    <xf numFmtId="2" fontId="0" fillId="15" borderId="33" xfId="0" applyNumberFormat="1" applyFill="1" applyBorder="1" applyAlignment="1">
      <alignment horizontal="center" vertical="center"/>
    </xf>
    <xf numFmtId="164" fontId="0" fillId="15" borderId="7" xfId="0" applyNumberFormat="1" applyFill="1" applyBorder="1" applyAlignment="1">
      <alignment horizontal="center"/>
    </xf>
    <xf numFmtId="164" fontId="0" fillId="15" borderId="8" xfId="0" applyNumberFormat="1" applyFill="1" applyBorder="1" applyAlignment="1">
      <alignment horizontal="center"/>
    </xf>
    <xf numFmtId="2" fontId="0" fillId="15" borderId="1" xfId="0" applyNumberFormat="1" applyFill="1" applyBorder="1" applyAlignment="1">
      <alignment horizontal="center" vertical="center"/>
    </xf>
    <xf numFmtId="2" fontId="0" fillId="15" borderId="34" xfId="0" applyNumberFormat="1" applyFill="1" applyBorder="1" applyAlignment="1">
      <alignment horizontal="center" vertical="center"/>
    </xf>
    <xf numFmtId="0" fontId="3" fillId="18" borderId="0" xfId="0" applyFont="1" applyFill="1" applyAlignment="1">
      <alignment horizontal="center" vertical="center"/>
    </xf>
    <xf numFmtId="2" fontId="3" fillId="18" borderId="0" xfId="0" applyNumberFormat="1" applyFont="1" applyFill="1" applyAlignment="1">
      <alignment horizontal="center" vertical="center"/>
    </xf>
    <xf numFmtId="2" fontId="3" fillId="18" borderId="3" xfId="0" applyNumberFormat="1" applyFont="1" applyFill="1" applyBorder="1" applyAlignment="1">
      <alignment horizontal="center" vertical="center"/>
    </xf>
    <xf numFmtId="49" fontId="0" fillId="17" borderId="3" xfId="0" applyNumberFormat="1" applyFill="1" applyBorder="1" applyAlignment="1">
      <alignment horizontal="center" vertical="center"/>
    </xf>
    <xf numFmtId="0" fontId="3" fillId="18" borderId="3" xfId="0" applyFont="1" applyFill="1" applyBorder="1" applyAlignment="1">
      <alignment horizontal="center" vertical="center"/>
    </xf>
    <xf numFmtId="0" fontId="0" fillId="0" borderId="0" xfId="0" applyAlignment="1">
      <alignment horizontal="center"/>
    </xf>
    <xf numFmtId="49" fontId="0" fillId="0" borderId="0" xfId="0" applyNumberFormat="1" applyAlignment="1">
      <alignment horizontal="left"/>
    </xf>
    <xf numFmtId="10" fontId="2" fillId="6" borderId="12" xfId="1" applyNumberFormat="1" applyFont="1" applyFill="1" applyBorder="1" applyAlignment="1">
      <alignment horizontal="center" vertical="center"/>
    </xf>
    <xf numFmtId="10" fontId="0" fillId="7" borderId="12" xfId="1" applyNumberFormat="1" applyFont="1" applyFill="1" applyBorder="1" applyAlignment="1">
      <alignment horizontal="center" vertical="center"/>
    </xf>
    <xf numFmtId="10" fontId="2" fillId="10" borderId="12" xfId="1" applyNumberFormat="1" applyFont="1" applyFill="1" applyBorder="1" applyAlignment="1">
      <alignment horizontal="center" vertical="center"/>
    </xf>
    <xf numFmtId="10" fontId="0" fillId="11" borderId="12" xfId="1" applyNumberFormat="1" applyFont="1" applyFill="1" applyBorder="1" applyAlignment="1">
      <alignment horizontal="center" vertical="center"/>
    </xf>
    <xf numFmtId="10" fontId="2" fillId="14" borderId="12" xfId="1" applyNumberFormat="1" applyFont="1" applyFill="1" applyBorder="1" applyAlignment="1">
      <alignment horizontal="center" vertical="center"/>
    </xf>
    <xf numFmtId="10" fontId="0" fillId="15" borderId="34" xfId="1" applyNumberFormat="1" applyFont="1" applyFill="1" applyBorder="1" applyAlignment="1">
      <alignment horizontal="center" vertical="center"/>
    </xf>
    <xf numFmtId="2" fontId="0" fillId="0" borderId="0" xfId="0" applyNumberFormat="1"/>
    <xf numFmtId="166" fontId="0" fillId="7" borderId="10" xfId="0" applyNumberFormat="1" applyFill="1" applyBorder="1" applyAlignment="1">
      <alignment horizontal="center" vertical="center"/>
    </xf>
    <xf numFmtId="1" fontId="0" fillId="11" borderId="10" xfId="0" applyNumberFormat="1" applyFill="1" applyBorder="1" applyAlignment="1">
      <alignment horizontal="center" vertical="center"/>
    </xf>
    <xf numFmtId="1" fontId="0" fillId="15" borderId="32" xfId="0" applyNumberFormat="1" applyFill="1" applyBorder="1" applyAlignment="1">
      <alignment horizontal="center" vertical="center"/>
    </xf>
    <xf numFmtId="1" fontId="3" fillId="18" borderId="0" xfId="0" applyNumberFormat="1" applyFont="1" applyFill="1" applyAlignment="1">
      <alignment horizontal="center" vertical="center"/>
    </xf>
    <xf numFmtId="1" fontId="0" fillId="7" borderId="10" xfId="0" applyNumberFormat="1" applyFill="1" applyBorder="1" applyAlignment="1">
      <alignment horizontal="center" vertical="center"/>
    </xf>
    <xf numFmtId="10" fontId="3" fillId="18" borderId="0" xfId="1" applyNumberFormat="1" applyFont="1" applyFill="1" applyAlignment="1">
      <alignment horizontal="center" vertical="center"/>
    </xf>
    <xf numFmtId="0" fontId="0" fillId="2" borderId="4" xfId="0" applyFill="1" applyBorder="1" applyAlignment="1">
      <alignment horizontal="center"/>
    </xf>
    <xf numFmtId="0" fontId="0" fillId="2" borderId="5" xfId="0" applyFill="1" applyBorder="1" applyAlignment="1">
      <alignment horizontal="center"/>
    </xf>
    <xf numFmtId="49" fontId="7" fillId="8" borderId="37" xfId="0" applyNumberFormat="1" applyFont="1" applyFill="1" applyBorder="1" applyAlignment="1">
      <alignment horizontal="left"/>
    </xf>
    <xf numFmtId="2" fontId="0" fillId="7" borderId="38" xfId="0" applyNumberFormat="1" applyFill="1" applyBorder="1" applyAlignment="1">
      <alignment horizontal="center"/>
    </xf>
    <xf numFmtId="49" fontId="0" fillId="8" borderId="16" xfId="0" applyNumberFormat="1" applyFill="1" applyBorder="1" applyAlignment="1">
      <alignment horizontal="left"/>
    </xf>
    <xf numFmtId="49" fontId="0" fillId="11" borderId="10" xfId="0" applyNumberFormat="1" applyFill="1" applyBorder="1" applyAlignment="1">
      <alignment horizontal="left"/>
    </xf>
    <xf numFmtId="49" fontId="4" fillId="12" borderId="16" xfId="2" applyNumberFormat="1" applyFill="1" applyBorder="1" applyAlignment="1">
      <alignment horizontal="left"/>
    </xf>
    <xf numFmtId="164" fontId="0" fillId="16" borderId="24" xfId="0" applyNumberFormat="1" applyFill="1" applyBorder="1" applyAlignment="1">
      <alignment horizontal="center"/>
    </xf>
    <xf numFmtId="49" fontId="0" fillId="16" borderId="21" xfId="0" applyNumberFormat="1" applyFill="1" applyBorder="1" applyAlignment="1">
      <alignment horizontal="left"/>
    </xf>
    <xf numFmtId="0" fontId="5" fillId="0" borderId="6" xfId="0" applyFont="1" applyBorder="1" applyAlignment="1">
      <alignment horizontal="center" vertical="center" textRotation="255" wrapText="1"/>
    </xf>
    <xf numFmtId="0" fontId="0" fillId="5" borderId="27" xfId="0" applyFill="1" applyBorder="1" applyAlignment="1">
      <alignment horizontal="center" vertical="center"/>
    </xf>
    <xf numFmtId="0" fontId="0" fillId="5" borderId="0" xfId="0" applyFill="1" applyAlignment="1">
      <alignment horizontal="center" vertical="center"/>
    </xf>
    <xf numFmtId="0" fontId="2" fillId="6" borderId="27" xfId="0" applyFont="1" applyFill="1" applyBorder="1" applyAlignment="1">
      <alignment horizontal="center"/>
    </xf>
    <xf numFmtId="0" fontId="2" fillId="6" borderId="28" xfId="0" applyFont="1" applyFill="1" applyBorder="1" applyAlignment="1">
      <alignment horizontal="center"/>
    </xf>
    <xf numFmtId="0" fontId="0" fillId="6" borderId="0" xfId="0" applyFill="1" applyAlignment="1">
      <alignment horizontal="center"/>
    </xf>
    <xf numFmtId="0" fontId="0" fillId="6" borderId="3" xfId="0" applyFill="1" applyBorder="1" applyAlignment="1">
      <alignment horizontal="center"/>
    </xf>
    <xf numFmtId="0" fontId="0" fillId="9" borderId="0" xfId="0" applyFill="1" applyAlignment="1">
      <alignment horizontal="center" vertical="center"/>
    </xf>
    <xf numFmtId="0" fontId="2" fillId="10" borderId="0" xfId="0" applyFont="1" applyFill="1" applyAlignment="1">
      <alignment horizontal="center"/>
    </xf>
    <xf numFmtId="0" fontId="2" fillId="10" borderId="3" xfId="0" applyFont="1" applyFill="1" applyBorder="1" applyAlignment="1">
      <alignment horizontal="center"/>
    </xf>
    <xf numFmtId="0" fontId="0" fillId="10" borderId="0" xfId="0" applyFill="1" applyAlignment="1">
      <alignment horizontal="center"/>
    </xf>
    <xf numFmtId="0" fontId="0" fillId="10" borderId="3" xfId="0" applyFill="1" applyBorder="1" applyAlignment="1">
      <alignment horizontal="center"/>
    </xf>
    <xf numFmtId="0" fontId="0" fillId="13" borderId="0" xfId="0" applyFill="1" applyAlignment="1">
      <alignment horizontal="center" vertical="center"/>
    </xf>
    <xf numFmtId="0" fontId="0" fillId="13" borderId="1" xfId="0" applyFill="1" applyBorder="1" applyAlignment="1">
      <alignment horizontal="center" vertical="center"/>
    </xf>
    <xf numFmtId="0" fontId="2" fillId="14" borderId="0" xfId="0" applyFont="1" applyFill="1" applyAlignment="1">
      <alignment horizontal="center"/>
    </xf>
    <xf numFmtId="0" fontId="2" fillId="14" borderId="3" xfId="0" applyFont="1" applyFill="1" applyBorder="1" applyAlignment="1">
      <alignment horizontal="center"/>
    </xf>
    <xf numFmtId="0" fontId="0" fillId="14" borderId="1" xfId="0" applyFill="1" applyBorder="1" applyAlignment="1">
      <alignment horizontal="center"/>
    </xf>
    <xf numFmtId="0" fontId="0" fillId="14" borderId="2" xfId="0" applyFill="1" applyBorder="1" applyAlignment="1">
      <alignment horizontal="center"/>
    </xf>
    <xf numFmtId="0" fontId="8" fillId="18" borderId="35" xfId="0" applyFont="1" applyFill="1" applyBorder="1" applyAlignment="1">
      <alignment horizontal="center" vertical="center"/>
    </xf>
    <xf numFmtId="0" fontId="8" fillId="18" borderId="36" xfId="0" applyFont="1" applyFill="1" applyBorder="1" applyAlignment="1">
      <alignment horizontal="center" vertical="center"/>
    </xf>
    <xf numFmtId="0" fontId="8" fillId="18" borderId="0" xfId="0" applyFont="1" applyFill="1" applyAlignment="1">
      <alignment horizontal="center" vertical="center"/>
    </xf>
    <xf numFmtId="0" fontId="8" fillId="18" borderId="3" xfId="0" applyFont="1" applyFill="1" applyBorder="1" applyAlignment="1">
      <alignment horizontal="center" vertical="center"/>
    </xf>
    <xf numFmtId="0" fontId="5" fillId="0" borderId="3" xfId="0" applyFont="1" applyBorder="1" applyAlignment="1">
      <alignment horizontal="center" vertical="center" textRotation="255" wrapText="1"/>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111/ijfs.12578" TargetMode="External"/><Relationship Id="rId2" Type="http://schemas.openxmlformats.org/officeDocument/2006/relationships/hyperlink" Target="https://doi.org/10.1016/j.focha.2024.100637" TargetMode="External"/><Relationship Id="rId1" Type="http://schemas.openxmlformats.org/officeDocument/2006/relationships/hyperlink" Target="https://dspace.uevora.pt/rdpc/bitstream/10174/36877/1/sea-lamprey-petromyzon-marinus-l-a-delicacy-with-high-gastronomic-impact-in-several-countries-of-western-europe-nutritional-composition-and-healthy-lipid-index-%20%281%29.pdf?utm_source=chatgpt.com" TargetMode="External"/><Relationship Id="rId5" Type="http://schemas.openxmlformats.org/officeDocument/2006/relationships/printerSettings" Target="../printerSettings/printerSettings1.bin"/><Relationship Id="rId4" Type="http://schemas.openxmlformats.org/officeDocument/2006/relationships/hyperlink" Target="https://doi.org/10.1016/j.focha.2024.100637"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oi.org/10.1111/ijfs.12578" TargetMode="External"/><Relationship Id="rId2" Type="http://schemas.openxmlformats.org/officeDocument/2006/relationships/hyperlink" Target="https://doi.org/10.1016/j.focha.2024.100637" TargetMode="External"/><Relationship Id="rId1" Type="http://schemas.openxmlformats.org/officeDocument/2006/relationships/hyperlink" Target="https://dspace.uevora.pt/rdpc/bitstream/10174/36877/1/sea-lamprey-petromyzon-marinus-l-a-delicacy-with-high-gastronomic-impact-in-several-countries-of-western-europe-nutritional-composition-and-healthy-lipid-index-%20%281%29.pdf?utm_source=chatgpt.com" TargetMode="External"/><Relationship Id="rId5" Type="http://schemas.openxmlformats.org/officeDocument/2006/relationships/printerSettings" Target="../printerSettings/printerSettings2.bin"/><Relationship Id="rId4" Type="http://schemas.openxmlformats.org/officeDocument/2006/relationships/hyperlink" Target="https://doi.org/10.1016/j.focha.2024.100637"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6BCAF-8431-4AE8-8F86-189DD717BE61}">
  <dimension ref="A1:BT52"/>
  <sheetViews>
    <sheetView tabSelected="1" topLeftCell="AC18" zoomScale="70" zoomScaleNormal="70" workbookViewId="0">
      <selection activeCell="AQ23" sqref="AQ23"/>
    </sheetView>
  </sheetViews>
  <sheetFormatPr defaultRowHeight="14.4" x14ac:dyDescent="0.3"/>
  <cols>
    <col min="1" max="1" width="8.88671875" customWidth="1"/>
    <col min="2" max="2" width="14.44140625" customWidth="1"/>
    <col min="3" max="3" width="21" customWidth="1"/>
    <col min="4" max="4" width="28" customWidth="1"/>
    <col min="5" max="5" width="4.44140625" customWidth="1"/>
    <col min="35" max="35" width="8.88671875" customWidth="1"/>
    <col min="36" max="36" width="4.44140625" customWidth="1"/>
    <col min="37" max="37" width="11.6640625" style="222" customWidth="1"/>
    <col min="38" max="38" width="11.33203125" style="222" customWidth="1"/>
    <col min="39" max="39" width="69.88671875" style="223" customWidth="1"/>
    <col min="40" max="40" width="4.44140625" customWidth="1"/>
    <col min="41" max="41" width="14.33203125" customWidth="1"/>
    <col min="42" max="46" width="13.33203125" customWidth="1"/>
    <col min="47" max="47" width="14.33203125" customWidth="1"/>
    <col min="48" max="48" width="12.88671875" customWidth="1"/>
    <col min="49" max="49" width="13.88671875" style="222" customWidth="1"/>
    <col min="50" max="50" width="16" style="222" customWidth="1"/>
    <col min="51" max="51" width="10.88671875" customWidth="1"/>
    <col min="52" max="60" width="13" customWidth="1"/>
    <col min="61" max="67" width="10.109375" customWidth="1"/>
    <col min="68" max="68" width="11.5546875" customWidth="1"/>
    <col min="69" max="70" width="12.88671875" customWidth="1"/>
    <col min="71" max="71" width="19.44140625" customWidth="1"/>
    <col min="72" max="72" width="18.44140625" customWidth="1"/>
  </cols>
  <sheetData>
    <row r="1" spans="1:72" ht="49.5" customHeight="1" thickBot="1" x14ac:dyDescent="0.35">
      <c r="A1" s="1" t="s">
        <v>0</v>
      </c>
      <c r="B1" s="1" t="s">
        <v>1</v>
      </c>
      <c r="C1" s="2" t="s">
        <v>2</v>
      </c>
      <c r="D1" s="3" t="s">
        <v>3</v>
      </c>
      <c r="E1" s="268" t="s">
        <v>4</v>
      </c>
      <c r="F1" s="4"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4" t="s">
        <v>30</v>
      </c>
      <c r="AF1" s="4" t="s">
        <v>31</v>
      </c>
      <c r="AG1" s="4" t="s">
        <v>32</v>
      </c>
      <c r="AH1" s="4" t="s">
        <v>33</v>
      </c>
      <c r="AI1" s="6" t="s">
        <v>34</v>
      </c>
      <c r="AJ1" s="246" t="s">
        <v>35</v>
      </c>
      <c r="AK1" s="237" t="s">
        <v>36</v>
      </c>
      <c r="AL1" s="238" t="s">
        <v>37</v>
      </c>
      <c r="AM1" s="7" t="s">
        <v>38</v>
      </c>
      <c r="AN1" s="246" t="s">
        <v>39</v>
      </c>
      <c r="AO1" s="8" t="s">
        <v>40</v>
      </c>
      <c r="AP1" s="9" t="s">
        <v>41</v>
      </c>
      <c r="AQ1" s="9" t="s">
        <v>42</v>
      </c>
      <c r="AR1" s="9" t="s">
        <v>43</v>
      </c>
      <c r="AS1" s="9" t="s">
        <v>44</v>
      </c>
      <c r="AT1" s="9" t="s">
        <v>45</v>
      </c>
      <c r="AU1" s="9" t="s">
        <v>46</v>
      </c>
      <c r="AV1" s="10" t="s">
        <v>47</v>
      </c>
      <c r="AW1" s="10" t="s">
        <v>48</v>
      </c>
      <c r="AX1" s="11" t="s">
        <v>49</v>
      </c>
      <c r="AY1" s="11" t="s">
        <v>50</v>
      </c>
      <c r="AZ1" s="11" t="s">
        <v>51</v>
      </c>
      <c r="BA1" s="11" t="s">
        <v>52</v>
      </c>
      <c r="BB1" s="11" t="s">
        <v>53</v>
      </c>
      <c r="BC1" s="11" t="s">
        <v>54</v>
      </c>
      <c r="BD1" s="11" t="s">
        <v>55</v>
      </c>
      <c r="BE1" s="11" t="s">
        <v>56</v>
      </c>
      <c r="BF1" s="11" t="s">
        <v>57</v>
      </c>
      <c r="BG1" s="11" t="s">
        <v>58</v>
      </c>
      <c r="BH1" s="11" t="s">
        <v>59</v>
      </c>
      <c r="BI1" s="11" t="s">
        <v>60</v>
      </c>
      <c r="BJ1" s="11" t="s">
        <v>61</v>
      </c>
      <c r="BK1" s="11" t="s">
        <v>62</v>
      </c>
      <c r="BL1" s="11" t="s">
        <v>63</v>
      </c>
      <c r="BM1" s="11" t="s">
        <v>64</v>
      </c>
      <c r="BN1" s="11" t="s">
        <v>65</v>
      </c>
      <c r="BO1" s="11" t="s">
        <v>66</v>
      </c>
      <c r="BP1" s="10" t="s">
        <v>67</v>
      </c>
      <c r="BQ1" s="10" t="s">
        <v>68</v>
      </c>
      <c r="BR1" s="12" t="s">
        <v>69</v>
      </c>
      <c r="BS1" s="10" t="s">
        <v>171</v>
      </c>
      <c r="BT1" s="12" t="s">
        <v>172</v>
      </c>
    </row>
    <row r="2" spans="1:72" x14ac:dyDescent="0.3">
      <c r="A2" s="13">
        <v>0</v>
      </c>
      <c r="B2" s="14">
        <v>800</v>
      </c>
      <c r="C2" s="15" t="s">
        <v>70</v>
      </c>
      <c r="D2" s="16" t="s">
        <v>71</v>
      </c>
      <c r="E2" s="268"/>
      <c r="F2" s="17">
        <v>70</v>
      </c>
      <c r="G2" s="18">
        <v>0.1</v>
      </c>
      <c r="H2" s="18">
        <v>0</v>
      </c>
      <c r="I2" s="18">
        <v>0</v>
      </c>
      <c r="J2" s="18">
        <v>0</v>
      </c>
      <c r="K2" s="18">
        <v>0</v>
      </c>
      <c r="L2" s="18">
        <v>0</v>
      </c>
      <c r="M2" s="18">
        <v>17.2</v>
      </c>
      <c r="N2" s="18">
        <v>0.2</v>
      </c>
      <c r="O2" s="18">
        <v>81.5</v>
      </c>
      <c r="P2" s="19">
        <v>22</v>
      </c>
      <c r="Q2" s="19">
        <v>1</v>
      </c>
      <c r="R2" s="18">
        <v>0.4</v>
      </c>
      <c r="S2" s="18">
        <v>0.04</v>
      </c>
      <c r="T2" s="18">
        <v>0.03</v>
      </c>
      <c r="U2" s="18">
        <v>0.03</v>
      </c>
      <c r="V2" s="18">
        <v>0.56000000000000005</v>
      </c>
      <c r="W2" s="18">
        <v>3.8</v>
      </c>
      <c r="X2" s="19">
        <v>192</v>
      </c>
      <c r="Y2" s="18">
        <v>0.06</v>
      </c>
      <c r="Z2" s="18">
        <v>0.44</v>
      </c>
      <c r="AA2" s="18">
        <v>12</v>
      </c>
      <c r="AB2" s="18">
        <v>1.1000000000000001</v>
      </c>
      <c r="AC2" s="19">
        <v>63</v>
      </c>
      <c r="AD2" s="19">
        <v>360</v>
      </c>
      <c r="AE2" s="17">
        <v>11</v>
      </c>
      <c r="AF2" s="17">
        <v>230</v>
      </c>
      <c r="AG2" s="17">
        <v>28</v>
      </c>
      <c r="AH2" s="20">
        <v>0.2</v>
      </c>
      <c r="AI2" s="21">
        <v>0.5</v>
      </c>
      <c r="AJ2" s="246"/>
      <c r="AK2" s="22">
        <v>4.2000000000000003E-2</v>
      </c>
      <c r="AL2" s="23">
        <v>8.8999999999999996E-2</v>
      </c>
      <c r="AM2" s="24" t="s">
        <v>72</v>
      </c>
      <c r="AN2" s="246"/>
      <c r="AO2" s="25">
        <f t="shared" ref="AO2:AO41" si="0">G2*9</f>
        <v>0.9</v>
      </c>
      <c r="AP2" s="26">
        <v>0</v>
      </c>
      <c r="AQ2" s="26">
        <v>0</v>
      </c>
      <c r="AR2" s="26">
        <v>0</v>
      </c>
      <c r="AS2" s="27">
        <v>0</v>
      </c>
      <c r="AT2" s="26">
        <f t="shared" ref="AT2:AT41" si="1">M2*4</f>
        <v>68.8</v>
      </c>
      <c r="AU2" s="28">
        <f t="shared" ref="AU2:AU41" si="2">AT2/(AT2+AO2)</f>
        <v>0.98708751793400273</v>
      </c>
      <c r="AV2" s="29">
        <f t="shared" ref="AV2:AV41" si="3">AK2+AL2</f>
        <v>0.13100000000000001</v>
      </c>
      <c r="AW2" s="30">
        <f>(AV2/0.25)</f>
        <v>0.52400000000000002</v>
      </c>
      <c r="AX2" s="27">
        <f t="shared" ref="AX2:AX15" si="4">AK2/AL2</f>
        <v>0.4719101123595506</v>
      </c>
      <c r="AY2" s="31">
        <f>Q2/800</f>
        <v>1.25E-3</v>
      </c>
      <c r="AZ2" s="31">
        <f>R2/5</f>
        <v>0.08</v>
      </c>
      <c r="BA2" s="31">
        <f>S2/12</f>
        <v>3.3333333333333335E-3</v>
      </c>
      <c r="BB2" s="31">
        <f>T2/1.1</f>
        <v>2.7272727272727268E-2</v>
      </c>
      <c r="BC2" s="31">
        <f>U2/1.4</f>
        <v>2.1428571428571429E-2</v>
      </c>
      <c r="BD2" s="31">
        <f>V2/16</f>
        <v>3.5000000000000003E-2</v>
      </c>
      <c r="BE2" s="31">
        <f>Y2/1.4</f>
        <v>4.2857142857142858E-2</v>
      </c>
      <c r="BF2" s="31">
        <f>Z2/2.5</f>
        <v>0.17599999999999999</v>
      </c>
      <c r="BG2" s="31">
        <f>AA2/200</f>
        <v>0.06</v>
      </c>
      <c r="BH2" s="31">
        <f>AC2/2400</f>
        <v>2.6249999999999999E-2</v>
      </c>
      <c r="BI2" s="31">
        <f>AD2/2000</f>
        <v>0.18</v>
      </c>
      <c r="BJ2" s="31">
        <f>AE2/800</f>
        <v>1.375E-2</v>
      </c>
      <c r="BK2" s="31">
        <f>AF2/700</f>
        <v>0.32857142857142857</v>
      </c>
      <c r="BL2" s="31">
        <f>AG2/375</f>
        <v>7.4666666666666673E-2</v>
      </c>
      <c r="BM2" s="31">
        <f>AH2/14</f>
        <v>1.4285714285714287E-2</v>
      </c>
      <c r="BN2" s="31">
        <f>AI2/10</f>
        <v>0.05</v>
      </c>
      <c r="BO2" s="32">
        <f>(((M2/50)+AY2+BA2+BJ2+BM2+BL2+BI2)-((H2/20)+BH2))*100</f>
        <v>60.503571428571426</v>
      </c>
      <c r="BP2" s="32">
        <f>AC2/AD2</f>
        <v>0.17499999999999999</v>
      </c>
      <c r="BQ2" s="32">
        <f>AH2/AI2</f>
        <v>0.4</v>
      </c>
      <c r="BR2" s="32">
        <f>AE2/AF2</f>
        <v>4.7826086956521741E-2</v>
      </c>
      <c r="BS2" s="32">
        <v>1.0649047619047618</v>
      </c>
      <c r="BT2" s="32">
        <v>1.5212925170068026</v>
      </c>
    </row>
    <row r="3" spans="1:72" x14ac:dyDescent="0.3">
      <c r="A3" s="13">
        <v>0</v>
      </c>
      <c r="B3" s="14">
        <v>802</v>
      </c>
      <c r="C3" s="15" t="s">
        <v>73</v>
      </c>
      <c r="D3" s="16" t="s">
        <v>74</v>
      </c>
      <c r="E3" s="268"/>
      <c r="F3" s="33">
        <v>76</v>
      </c>
      <c r="G3" s="34">
        <v>0.5</v>
      </c>
      <c r="H3" s="34">
        <v>0.1</v>
      </c>
      <c r="I3" s="34">
        <v>0.1</v>
      </c>
      <c r="J3" s="34">
        <v>0.2</v>
      </c>
      <c r="K3" s="34">
        <v>0</v>
      </c>
      <c r="L3" s="34">
        <v>0</v>
      </c>
      <c r="M3" s="34">
        <v>17.8</v>
      </c>
      <c r="N3" s="34">
        <v>0.2</v>
      </c>
      <c r="O3" s="34">
        <v>80</v>
      </c>
      <c r="P3" s="35">
        <v>44</v>
      </c>
      <c r="Q3" s="35">
        <v>7</v>
      </c>
      <c r="R3" s="34">
        <v>1</v>
      </c>
      <c r="S3" s="34">
        <v>0.6</v>
      </c>
      <c r="T3" s="34">
        <v>0.06</v>
      </c>
      <c r="U3" s="34">
        <v>0.04</v>
      </c>
      <c r="V3" s="34">
        <v>2.2999999999999998</v>
      </c>
      <c r="W3" s="34">
        <v>5.6</v>
      </c>
      <c r="X3" s="35">
        <v>198</v>
      </c>
      <c r="Y3" s="34">
        <v>0.21</v>
      </c>
      <c r="Z3" s="34">
        <v>1</v>
      </c>
      <c r="AA3" s="34">
        <v>10</v>
      </c>
      <c r="AB3" s="34">
        <v>1.4</v>
      </c>
      <c r="AC3" s="35">
        <v>65</v>
      </c>
      <c r="AD3" s="35">
        <v>360</v>
      </c>
      <c r="AE3" s="33">
        <v>15</v>
      </c>
      <c r="AF3" s="33">
        <v>200</v>
      </c>
      <c r="AG3" s="33">
        <v>26</v>
      </c>
      <c r="AH3" s="36">
        <v>0.3</v>
      </c>
      <c r="AI3" s="37">
        <v>0.5</v>
      </c>
      <c r="AJ3" s="246"/>
      <c r="AK3" s="38">
        <v>7.0000000000000007E-2</v>
      </c>
      <c r="AL3" s="39">
        <v>0.17</v>
      </c>
      <c r="AM3" s="40" t="s">
        <v>75</v>
      </c>
      <c r="AN3" s="246"/>
      <c r="AO3" s="41">
        <f t="shared" si="0"/>
        <v>4.5</v>
      </c>
      <c r="AP3" s="42">
        <f t="shared" ref="AP3:AP36" si="5">I3/J3</f>
        <v>0.5</v>
      </c>
      <c r="AQ3" s="42">
        <f t="shared" ref="AQ3:AQ41" si="6">H3/J3</f>
        <v>0.5</v>
      </c>
      <c r="AR3" s="42">
        <f>H3/I3</f>
        <v>1</v>
      </c>
      <c r="AS3" s="42">
        <f>J3/H3</f>
        <v>2</v>
      </c>
      <c r="AT3" s="43">
        <f t="shared" si="1"/>
        <v>71.2</v>
      </c>
      <c r="AU3" s="44">
        <f t="shared" si="2"/>
        <v>0.94055482166446502</v>
      </c>
      <c r="AV3" s="45">
        <f t="shared" si="3"/>
        <v>0.24000000000000002</v>
      </c>
      <c r="AW3" s="46">
        <f>(AV3/0.25)</f>
        <v>0.96000000000000008</v>
      </c>
      <c r="AX3" s="42">
        <f t="shared" si="4"/>
        <v>0.41176470588235298</v>
      </c>
      <c r="AY3" s="47">
        <f t="shared" ref="AY3:AY41" si="7">Q3/800</f>
        <v>8.7500000000000008E-3</v>
      </c>
      <c r="AZ3" s="47">
        <f t="shared" ref="AZ3:AZ41" si="8">R3/5</f>
        <v>0.2</v>
      </c>
      <c r="BA3" s="47">
        <f t="shared" ref="BA3:BA41" si="9">S3/12</f>
        <v>4.9999999999999996E-2</v>
      </c>
      <c r="BB3" s="47">
        <f t="shared" ref="BB3:BB41" si="10">T3/1.1</f>
        <v>5.4545454545454536E-2</v>
      </c>
      <c r="BC3" s="47">
        <f t="shared" ref="BC3:BC41" si="11">U3/1.4</f>
        <v>2.8571428571428574E-2</v>
      </c>
      <c r="BD3" s="47">
        <f t="shared" ref="BD3:BD41" si="12">V3/16</f>
        <v>0.14374999999999999</v>
      </c>
      <c r="BE3" s="47">
        <f t="shared" ref="BE3:BE41" si="13">Y3/1.4</f>
        <v>0.15</v>
      </c>
      <c r="BF3" s="47">
        <f t="shared" ref="BF3:BF41" si="14">Z3/2.5</f>
        <v>0.4</v>
      </c>
      <c r="BG3" s="47">
        <f t="shared" ref="BG3:BG41" si="15">AA3/200</f>
        <v>0.05</v>
      </c>
      <c r="BH3" s="47">
        <f t="shared" ref="BH3:BH41" si="16">AC3/2400</f>
        <v>2.7083333333333334E-2</v>
      </c>
      <c r="BI3" s="47">
        <f t="shared" ref="BI3:BI41" si="17">AD3/2000</f>
        <v>0.18</v>
      </c>
      <c r="BJ3" s="47">
        <f t="shared" ref="BJ3:BJ41" si="18">AE3/800</f>
        <v>1.8749999999999999E-2</v>
      </c>
      <c r="BK3" s="47">
        <f t="shared" ref="BK3:BK41" si="19">AF3/700</f>
        <v>0.2857142857142857</v>
      </c>
      <c r="BL3" s="47">
        <f t="shared" ref="BL3:BL41" si="20">AG3/375</f>
        <v>6.933333333333333E-2</v>
      </c>
      <c r="BM3" s="47">
        <f t="shared" ref="BM3:BM41" si="21">AH3/14</f>
        <v>2.1428571428571429E-2</v>
      </c>
      <c r="BN3" s="47">
        <f t="shared" ref="BN3:BN41" si="22">AI3/10</f>
        <v>0.05</v>
      </c>
      <c r="BO3" s="48">
        <f t="shared" ref="BO3:BO41" si="23">(((M3/50)+AY3+BA3+BJ3+BM3+BL3+BI3)-((H3/20)+BH3))*100</f>
        <v>67.217857142857142</v>
      </c>
      <c r="BP3" s="48">
        <f t="shared" ref="BP3:BP41" si="24">AC3/AD3</f>
        <v>0.18055555555555555</v>
      </c>
      <c r="BQ3" s="48">
        <f t="shared" ref="BQ3:BQ41" si="25">AH3/AI3</f>
        <v>0.6</v>
      </c>
      <c r="BR3" s="48">
        <f t="shared" ref="BR3:BR41" si="26">AE3/AF3</f>
        <v>7.4999999999999997E-2</v>
      </c>
      <c r="BS3" s="48">
        <v>1.8893333333333331</v>
      </c>
      <c r="BT3" s="48">
        <v>2.4859649122807013</v>
      </c>
    </row>
    <row r="4" spans="1:72" x14ac:dyDescent="0.3">
      <c r="A4" s="13">
        <v>0</v>
      </c>
      <c r="B4" s="14">
        <v>1920000019</v>
      </c>
      <c r="C4" s="15" t="s">
        <v>76</v>
      </c>
      <c r="D4" s="16" t="s">
        <v>77</v>
      </c>
      <c r="E4" s="268"/>
      <c r="F4" s="17">
        <v>102</v>
      </c>
      <c r="G4" s="18">
        <v>2.7</v>
      </c>
      <c r="H4" s="18">
        <v>0.7</v>
      </c>
      <c r="I4" s="18">
        <v>0.8</v>
      </c>
      <c r="J4" s="18">
        <v>0.7</v>
      </c>
      <c r="K4" s="18">
        <v>2.2499999999999999E-2</v>
      </c>
      <c r="L4" s="18">
        <v>0</v>
      </c>
      <c r="M4" s="18">
        <v>19.5</v>
      </c>
      <c r="N4" s="18">
        <v>0.3</v>
      </c>
      <c r="O4" s="18">
        <v>75.5</v>
      </c>
      <c r="P4" s="19">
        <v>57</v>
      </c>
      <c r="Q4" s="19">
        <v>0</v>
      </c>
      <c r="R4" s="18">
        <v>0</v>
      </c>
      <c r="S4" s="18">
        <v>1.1000000000000001</v>
      </c>
      <c r="T4" s="18">
        <v>7.0000000000000007E-2</v>
      </c>
      <c r="U4" s="18">
        <v>0</v>
      </c>
      <c r="V4" s="18">
        <v>2.4</v>
      </c>
      <c r="W4" s="18">
        <v>6.1</v>
      </c>
      <c r="X4" s="19">
        <v>222</v>
      </c>
      <c r="Y4" s="18">
        <v>0.32</v>
      </c>
      <c r="Z4" s="18">
        <v>4.8</v>
      </c>
      <c r="AA4" s="18">
        <v>17</v>
      </c>
      <c r="AB4" s="18">
        <v>1.4</v>
      </c>
      <c r="AC4" s="19">
        <v>120</v>
      </c>
      <c r="AD4" s="19">
        <v>400</v>
      </c>
      <c r="AE4" s="17">
        <v>15</v>
      </c>
      <c r="AF4" s="17">
        <v>250</v>
      </c>
      <c r="AG4" s="17">
        <v>40</v>
      </c>
      <c r="AH4" s="20">
        <v>0.4</v>
      </c>
      <c r="AI4" s="21">
        <v>0.9</v>
      </c>
      <c r="AJ4" s="246"/>
      <c r="AK4" s="22">
        <v>0.6</v>
      </c>
      <c r="AL4" s="23">
        <v>0.9</v>
      </c>
      <c r="AM4" s="49" t="s">
        <v>78</v>
      </c>
      <c r="AN4" s="246"/>
      <c r="AO4" s="25">
        <f t="shared" si="0"/>
        <v>24.3</v>
      </c>
      <c r="AP4" s="27">
        <f t="shared" si="5"/>
        <v>1.142857142857143</v>
      </c>
      <c r="AQ4" s="27">
        <f t="shared" si="6"/>
        <v>1</v>
      </c>
      <c r="AR4" s="27">
        <f>H4/I4</f>
        <v>0.87499999999999989</v>
      </c>
      <c r="AS4" s="27">
        <f>J4/H4</f>
        <v>1</v>
      </c>
      <c r="AT4" s="26">
        <f t="shared" si="1"/>
        <v>78</v>
      </c>
      <c r="AU4" s="28">
        <f t="shared" si="2"/>
        <v>0.76246334310850439</v>
      </c>
      <c r="AV4" s="29">
        <f t="shared" si="3"/>
        <v>1.5</v>
      </c>
      <c r="AW4" s="30">
        <f t="shared" ref="AW4:AW41" si="27">(AV4/0.25)</f>
        <v>6</v>
      </c>
      <c r="AX4" s="27">
        <f t="shared" si="4"/>
        <v>0.66666666666666663</v>
      </c>
      <c r="AY4" s="31">
        <f t="shared" si="7"/>
        <v>0</v>
      </c>
      <c r="AZ4" s="31">
        <f t="shared" si="8"/>
        <v>0</v>
      </c>
      <c r="BA4" s="31">
        <f t="shared" si="9"/>
        <v>9.1666666666666674E-2</v>
      </c>
      <c r="BB4" s="31">
        <f t="shared" si="10"/>
        <v>6.3636363636363644E-2</v>
      </c>
      <c r="BC4" s="31">
        <f t="shared" si="11"/>
        <v>0</v>
      </c>
      <c r="BD4" s="31">
        <f t="shared" si="12"/>
        <v>0.15</v>
      </c>
      <c r="BE4" s="31">
        <f t="shared" si="13"/>
        <v>0.22857142857142859</v>
      </c>
      <c r="BF4" s="31">
        <f t="shared" si="14"/>
        <v>1.92</v>
      </c>
      <c r="BG4" s="31">
        <f t="shared" si="15"/>
        <v>8.5000000000000006E-2</v>
      </c>
      <c r="BH4" s="31">
        <f t="shared" si="16"/>
        <v>0.05</v>
      </c>
      <c r="BI4" s="31">
        <f t="shared" si="17"/>
        <v>0.2</v>
      </c>
      <c r="BJ4" s="31">
        <f t="shared" si="18"/>
        <v>1.8749999999999999E-2</v>
      </c>
      <c r="BK4" s="31">
        <f t="shared" si="19"/>
        <v>0.35714285714285715</v>
      </c>
      <c r="BL4" s="31">
        <f t="shared" si="20"/>
        <v>0.10666666666666667</v>
      </c>
      <c r="BM4" s="31">
        <f t="shared" si="21"/>
        <v>2.8571428571428574E-2</v>
      </c>
      <c r="BN4" s="31">
        <f t="shared" si="22"/>
        <v>0.09</v>
      </c>
      <c r="BO4" s="32">
        <f t="shared" si="23"/>
        <v>75.065476190476204</v>
      </c>
      <c r="BP4" s="32">
        <f>AC4/AD4</f>
        <v>0.3</v>
      </c>
      <c r="BQ4" s="32">
        <f t="shared" si="25"/>
        <v>0.44444444444444448</v>
      </c>
      <c r="BR4" s="32">
        <f t="shared" si="26"/>
        <v>0.06</v>
      </c>
      <c r="BS4" s="32">
        <v>8.2988095238095241</v>
      </c>
      <c r="BT4" s="32">
        <v>8.13608776844071</v>
      </c>
    </row>
    <row r="5" spans="1:72" x14ac:dyDescent="0.3">
      <c r="A5" s="13">
        <v>0</v>
      </c>
      <c r="B5" s="14">
        <v>815</v>
      </c>
      <c r="C5" s="15" t="s">
        <v>79</v>
      </c>
      <c r="D5" s="16" t="s">
        <v>80</v>
      </c>
      <c r="E5" s="268"/>
      <c r="F5" s="33">
        <v>82</v>
      </c>
      <c r="G5" s="34">
        <v>0.2</v>
      </c>
      <c r="H5" s="34">
        <v>0</v>
      </c>
      <c r="I5" s="34">
        <v>0</v>
      </c>
      <c r="J5" s="34">
        <v>0.1</v>
      </c>
      <c r="K5" s="34">
        <v>0</v>
      </c>
      <c r="L5" s="34">
        <v>0</v>
      </c>
      <c r="M5" s="34">
        <v>20</v>
      </c>
      <c r="N5" s="34">
        <v>0.4</v>
      </c>
      <c r="O5" s="34">
        <v>79</v>
      </c>
      <c r="P5" s="35">
        <v>25</v>
      </c>
      <c r="Q5" s="35">
        <v>3</v>
      </c>
      <c r="R5" s="34">
        <v>0.4</v>
      </c>
      <c r="S5" s="34">
        <v>0.35</v>
      </c>
      <c r="T5" s="34">
        <v>0.04</v>
      </c>
      <c r="U5" s="34">
        <v>0.03</v>
      </c>
      <c r="V5" s="34">
        <v>1.9</v>
      </c>
      <c r="W5" s="34">
        <v>5.6</v>
      </c>
      <c r="X5" s="35">
        <v>222</v>
      </c>
      <c r="Y5" s="34">
        <v>0.12</v>
      </c>
      <c r="Z5" s="34">
        <v>3.3</v>
      </c>
      <c r="AA5" s="34">
        <v>6.2</v>
      </c>
      <c r="AB5" s="34">
        <v>1.1000000000000001</v>
      </c>
      <c r="AC5" s="35">
        <v>170</v>
      </c>
      <c r="AD5" s="35">
        <v>290</v>
      </c>
      <c r="AE5" s="33">
        <v>14</v>
      </c>
      <c r="AF5" s="33">
        <v>190</v>
      </c>
      <c r="AG5" s="33">
        <v>32</v>
      </c>
      <c r="AH5" s="36">
        <v>0.1</v>
      </c>
      <c r="AI5" s="37">
        <v>0.3</v>
      </c>
      <c r="AJ5" s="246"/>
      <c r="AK5" s="38">
        <v>0.4</v>
      </c>
      <c r="AL5" s="39">
        <v>1</v>
      </c>
      <c r="AM5" s="40" t="s">
        <v>81</v>
      </c>
      <c r="AN5" s="246"/>
      <c r="AO5" s="41">
        <f t="shared" si="0"/>
        <v>1.8</v>
      </c>
      <c r="AP5" s="42">
        <f t="shared" si="5"/>
        <v>0</v>
      </c>
      <c r="AQ5" s="42">
        <f t="shared" si="6"/>
        <v>0</v>
      </c>
      <c r="AR5" s="42">
        <v>0</v>
      </c>
      <c r="AS5" s="42">
        <v>0</v>
      </c>
      <c r="AT5" s="43">
        <f t="shared" si="1"/>
        <v>80</v>
      </c>
      <c r="AU5" s="44">
        <f t="shared" si="2"/>
        <v>0.97799511002444994</v>
      </c>
      <c r="AV5" s="45">
        <f t="shared" si="3"/>
        <v>1.4</v>
      </c>
      <c r="AW5" s="46">
        <f t="shared" si="27"/>
        <v>5.6</v>
      </c>
      <c r="AX5" s="42">
        <f t="shared" si="4"/>
        <v>0.4</v>
      </c>
      <c r="AY5" s="47">
        <f t="shared" si="7"/>
        <v>3.7499999999999999E-3</v>
      </c>
      <c r="AZ5" s="47">
        <f t="shared" si="8"/>
        <v>0.08</v>
      </c>
      <c r="BA5" s="47">
        <f t="shared" si="9"/>
        <v>2.9166666666666664E-2</v>
      </c>
      <c r="BB5" s="47">
        <f t="shared" si="10"/>
        <v>3.6363636363636362E-2</v>
      </c>
      <c r="BC5" s="47">
        <f t="shared" si="11"/>
        <v>2.1428571428571429E-2</v>
      </c>
      <c r="BD5" s="47">
        <f t="shared" si="12"/>
        <v>0.11874999999999999</v>
      </c>
      <c r="BE5" s="47">
        <f t="shared" si="13"/>
        <v>8.5714285714285715E-2</v>
      </c>
      <c r="BF5" s="47">
        <f t="shared" si="14"/>
        <v>1.3199999999999998</v>
      </c>
      <c r="BG5" s="47">
        <f t="shared" si="15"/>
        <v>3.1E-2</v>
      </c>
      <c r="BH5" s="47">
        <f t="shared" si="16"/>
        <v>7.0833333333333331E-2</v>
      </c>
      <c r="BI5" s="47">
        <f t="shared" si="17"/>
        <v>0.14499999999999999</v>
      </c>
      <c r="BJ5" s="47">
        <f t="shared" si="18"/>
        <v>1.7500000000000002E-2</v>
      </c>
      <c r="BK5" s="47">
        <f t="shared" si="19"/>
        <v>0.27142857142857141</v>
      </c>
      <c r="BL5" s="47">
        <f t="shared" si="20"/>
        <v>8.533333333333333E-2</v>
      </c>
      <c r="BM5" s="47">
        <f t="shared" si="21"/>
        <v>7.1428571428571435E-3</v>
      </c>
      <c r="BN5" s="47">
        <f t="shared" si="22"/>
        <v>0.03</v>
      </c>
      <c r="BO5" s="48">
        <f t="shared" si="23"/>
        <v>61.70595238095239</v>
      </c>
      <c r="BP5" s="48">
        <f t="shared" si="24"/>
        <v>0.58620689655172409</v>
      </c>
      <c r="BQ5" s="48">
        <f t="shared" si="25"/>
        <v>0.33333333333333337</v>
      </c>
      <c r="BR5" s="48">
        <f t="shared" si="26"/>
        <v>7.3684210526315783E-2</v>
      </c>
      <c r="BS5" s="48">
        <v>7.2242023809523799</v>
      </c>
      <c r="BT5" s="48">
        <v>8.8100029036004628</v>
      </c>
    </row>
    <row r="6" spans="1:72" x14ac:dyDescent="0.3">
      <c r="A6" s="13">
        <v>0</v>
      </c>
      <c r="B6" s="14">
        <v>2120000014</v>
      </c>
      <c r="C6" s="15" t="s">
        <v>82</v>
      </c>
      <c r="D6" s="16" t="s">
        <v>83</v>
      </c>
      <c r="E6" s="268"/>
      <c r="F6" s="17">
        <v>80</v>
      </c>
      <c r="G6" s="18">
        <v>0.7</v>
      </c>
      <c r="H6" s="18">
        <v>0.1</v>
      </c>
      <c r="I6" s="18">
        <v>0.1</v>
      </c>
      <c r="J6" s="18">
        <v>0.2</v>
      </c>
      <c r="K6" s="18">
        <v>0</v>
      </c>
      <c r="L6" s="18">
        <v>0</v>
      </c>
      <c r="M6" s="18">
        <v>18.3</v>
      </c>
      <c r="N6" s="18">
        <v>0.2</v>
      </c>
      <c r="O6" s="18">
        <v>79</v>
      </c>
      <c r="P6" s="19">
        <v>34</v>
      </c>
      <c r="Q6" s="19">
        <v>0</v>
      </c>
      <c r="R6" s="18">
        <v>0.9</v>
      </c>
      <c r="S6" s="18">
        <v>1.9</v>
      </c>
      <c r="T6" s="18">
        <v>0.02</v>
      </c>
      <c r="U6" s="18">
        <v>0.05</v>
      </c>
      <c r="V6" s="18">
        <v>1.5</v>
      </c>
      <c r="W6" s="18">
        <v>5</v>
      </c>
      <c r="X6" s="19">
        <v>210</v>
      </c>
      <c r="Y6" s="18">
        <v>0.22</v>
      </c>
      <c r="Z6" s="18">
        <v>1.3</v>
      </c>
      <c r="AA6" s="18">
        <v>7</v>
      </c>
      <c r="AB6" s="18">
        <v>1.25</v>
      </c>
      <c r="AC6" s="19">
        <v>61</v>
      </c>
      <c r="AD6" s="19">
        <v>320</v>
      </c>
      <c r="AE6" s="17">
        <v>30</v>
      </c>
      <c r="AF6" s="17">
        <v>190</v>
      </c>
      <c r="AG6" s="17">
        <v>28</v>
      </c>
      <c r="AH6" s="20">
        <v>0.8</v>
      </c>
      <c r="AI6" s="21">
        <v>0.8</v>
      </c>
      <c r="AJ6" s="246"/>
      <c r="AK6" s="22">
        <v>0.2</v>
      </c>
      <c r="AL6" s="23">
        <v>0.4</v>
      </c>
      <c r="AM6" s="49" t="s">
        <v>78</v>
      </c>
      <c r="AN6" s="246"/>
      <c r="AO6" s="25">
        <f t="shared" si="0"/>
        <v>6.3</v>
      </c>
      <c r="AP6" s="27">
        <f t="shared" si="5"/>
        <v>0.5</v>
      </c>
      <c r="AQ6" s="27">
        <f t="shared" si="6"/>
        <v>0.5</v>
      </c>
      <c r="AR6" s="27">
        <f t="shared" ref="AR6:AR14" si="28">H6/I6</f>
        <v>1</v>
      </c>
      <c r="AS6" s="27">
        <f t="shared" ref="AS6:AS14" si="29">J6/H6</f>
        <v>2</v>
      </c>
      <c r="AT6" s="26">
        <f t="shared" si="1"/>
        <v>73.2</v>
      </c>
      <c r="AU6" s="28">
        <f t="shared" si="2"/>
        <v>0.92075471698113209</v>
      </c>
      <c r="AV6" s="29">
        <f t="shared" si="3"/>
        <v>0.60000000000000009</v>
      </c>
      <c r="AW6" s="30">
        <f t="shared" si="27"/>
        <v>2.4000000000000004</v>
      </c>
      <c r="AX6" s="27">
        <f t="shared" si="4"/>
        <v>0.5</v>
      </c>
      <c r="AY6" s="31">
        <f t="shared" si="7"/>
        <v>0</v>
      </c>
      <c r="AZ6" s="31">
        <f t="shared" si="8"/>
        <v>0.18</v>
      </c>
      <c r="BA6" s="31">
        <f t="shared" si="9"/>
        <v>0.15833333333333333</v>
      </c>
      <c r="BB6" s="31">
        <f t="shared" si="10"/>
        <v>1.8181818181818181E-2</v>
      </c>
      <c r="BC6" s="31">
        <f t="shared" si="11"/>
        <v>3.5714285714285719E-2</v>
      </c>
      <c r="BD6" s="31">
        <f t="shared" si="12"/>
        <v>9.375E-2</v>
      </c>
      <c r="BE6" s="31">
        <f t="shared" si="13"/>
        <v>0.15714285714285717</v>
      </c>
      <c r="BF6" s="31">
        <f t="shared" si="14"/>
        <v>0.52</v>
      </c>
      <c r="BG6" s="31">
        <f t="shared" si="15"/>
        <v>3.5000000000000003E-2</v>
      </c>
      <c r="BH6" s="31">
        <f t="shared" si="16"/>
        <v>2.5416666666666667E-2</v>
      </c>
      <c r="BI6" s="31">
        <f t="shared" si="17"/>
        <v>0.16</v>
      </c>
      <c r="BJ6" s="31">
        <f t="shared" si="18"/>
        <v>3.7499999999999999E-2</v>
      </c>
      <c r="BK6" s="31">
        <f t="shared" si="19"/>
        <v>0.27142857142857141</v>
      </c>
      <c r="BL6" s="31">
        <f t="shared" si="20"/>
        <v>7.4666666666666673E-2</v>
      </c>
      <c r="BM6" s="31">
        <f t="shared" si="21"/>
        <v>5.7142857142857148E-2</v>
      </c>
      <c r="BN6" s="31">
        <f t="shared" si="22"/>
        <v>0.08</v>
      </c>
      <c r="BO6" s="32">
        <f t="shared" si="23"/>
        <v>82.322619047619057</v>
      </c>
      <c r="BP6" s="32">
        <f t="shared" si="24"/>
        <v>0.19062499999999999</v>
      </c>
      <c r="BQ6" s="32">
        <f t="shared" si="25"/>
        <v>1</v>
      </c>
      <c r="BR6" s="32">
        <f t="shared" si="26"/>
        <v>0.15789473684210525</v>
      </c>
      <c r="BS6" s="32">
        <v>3.5209166666666674</v>
      </c>
      <c r="BT6" s="32">
        <v>4.4011458333333344</v>
      </c>
    </row>
    <row r="7" spans="1:72" x14ac:dyDescent="0.3">
      <c r="A7" s="13">
        <v>0</v>
      </c>
      <c r="B7" s="14">
        <v>902</v>
      </c>
      <c r="C7" s="15" t="s">
        <v>84</v>
      </c>
      <c r="D7" s="16" t="s">
        <v>85</v>
      </c>
      <c r="E7" s="268"/>
      <c r="F7" s="33">
        <v>101</v>
      </c>
      <c r="G7" s="34">
        <v>2.9</v>
      </c>
      <c r="H7" s="34">
        <v>0.5</v>
      </c>
      <c r="I7" s="34">
        <v>0.9</v>
      </c>
      <c r="J7" s="34">
        <v>0.5</v>
      </c>
      <c r="K7" s="34">
        <v>0.4</v>
      </c>
      <c r="L7" s="34">
        <v>0</v>
      </c>
      <c r="M7" s="34">
        <v>18.600000000000001</v>
      </c>
      <c r="N7" s="34">
        <v>0.2</v>
      </c>
      <c r="O7" s="34">
        <v>77.3</v>
      </c>
      <c r="P7" s="35">
        <v>42</v>
      </c>
      <c r="Q7" s="35">
        <v>20</v>
      </c>
      <c r="R7" s="34">
        <v>2.2999999999999998</v>
      </c>
      <c r="S7" s="34">
        <v>1.2</v>
      </c>
      <c r="T7" s="34">
        <v>0.13</v>
      </c>
      <c r="U7" s="34">
        <v>0.09</v>
      </c>
      <c r="V7" s="34">
        <v>2.8</v>
      </c>
      <c r="W7" s="34">
        <v>6.3</v>
      </c>
      <c r="X7" s="35">
        <v>210</v>
      </c>
      <c r="Y7" s="34">
        <v>0.18</v>
      </c>
      <c r="Z7" s="34">
        <v>2.2999999999999998</v>
      </c>
      <c r="AA7" s="34">
        <v>6</v>
      </c>
      <c r="AB7" s="34">
        <v>1.2</v>
      </c>
      <c r="AC7" s="35">
        <v>78</v>
      </c>
      <c r="AD7" s="35">
        <v>310</v>
      </c>
      <c r="AE7" s="33">
        <v>15</v>
      </c>
      <c r="AF7" s="33">
        <v>200</v>
      </c>
      <c r="AG7" s="33">
        <v>29</v>
      </c>
      <c r="AH7" s="36">
        <v>0.6</v>
      </c>
      <c r="AI7" s="37">
        <v>0.6</v>
      </c>
      <c r="AJ7" s="246"/>
      <c r="AK7" s="38">
        <v>0.3</v>
      </c>
      <c r="AL7" s="39">
        <v>0.3</v>
      </c>
      <c r="AM7" s="40" t="s">
        <v>81</v>
      </c>
      <c r="AN7" s="246"/>
      <c r="AO7" s="41">
        <f t="shared" si="0"/>
        <v>26.099999999999998</v>
      </c>
      <c r="AP7" s="42">
        <f t="shared" si="5"/>
        <v>1.8</v>
      </c>
      <c r="AQ7" s="42">
        <f t="shared" si="6"/>
        <v>1</v>
      </c>
      <c r="AR7" s="42">
        <f t="shared" si="28"/>
        <v>0.55555555555555558</v>
      </c>
      <c r="AS7" s="42">
        <f t="shared" si="29"/>
        <v>1</v>
      </c>
      <c r="AT7" s="43">
        <f t="shared" si="1"/>
        <v>74.400000000000006</v>
      </c>
      <c r="AU7" s="44">
        <f t="shared" si="2"/>
        <v>0.74029850746268666</v>
      </c>
      <c r="AV7" s="45">
        <f t="shared" si="3"/>
        <v>0.6</v>
      </c>
      <c r="AW7" s="46">
        <f t="shared" si="27"/>
        <v>2.4</v>
      </c>
      <c r="AX7" s="42">
        <f t="shared" si="4"/>
        <v>1</v>
      </c>
      <c r="AY7" s="47">
        <f t="shared" si="7"/>
        <v>2.5000000000000001E-2</v>
      </c>
      <c r="AZ7" s="47">
        <f t="shared" si="8"/>
        <v>0.45999999999999996</v>
      </c>
      <c r="BA7" s="47">
        <f t="shared" si="9"/>
        <v>9.9999999999999992E-2</v>
      </c>
      <c r="BB7" s="47">
        <f t="shared" si="10"/>
        <v>0.11818181818181818</v>
      </c>
      <c r="BC7" s="47">
        <f t="shared" si="11"/>
        <v>6.4285714285714293E-2</v>
      </c>
      <c r="BD7" s="47">
        <f t="shared" si="12"/>
        <v>0.17499999999999999</v>
      </c>
      <c r="BE7" s="47">
        <f t="shared" si="13"/>
        <v>0.12857142857142859</v>
      </c>
      <c r="BF7" s="47">
        <f t="shared" si="14"/>
        <v>0.91999999999999993</v>
      </c>
      <c r="BG7" s="47">
        <f t="shared" si="15"/>
        <v>0.03</v>
      </c>
      <c r="BH7" s="47">
        <f t="shared" si="16"/>
        <v>3.2500000000000001E-2</v>
      </c>
      <c r="BI7" s="47">
        <f t="shared" si="17"/>
        <v>0.155</v>
      </c>
      <c r="BJ7" s="47">
        <f t="shared" si="18"/>
        <v>1.8749999999999999E-2</v>
      </c>
      <c r="BK7" s="47">
        <f t="shared" si="19"/>
        <v>0.2857142857142857</v>
      </c>
      <c r="BL7" s="47">
        <f t="shared" si="20"/>
        <v>7.7333333333333337E-2</v>
      </c>
      <c r="BM7" s="47">
        <f t="shared" si="21"/>
        <v>4.2857142857142858E-2</v>
      </c>
      <c r="BN7" s="47">
        <f t="shared" si="22"/>
        <v>0.06</v>
      </c>
      <c r="BO7" s="48">
        <f t="shared" si="23"/>
        <v>73.344047619047629</v>
      </c>
      <c r="BP7" s="48">
        <f t="shared" si="24"/>
        <v>0.25161290322580643</v>
      </c>
      <c r="BQ7" s="48">
        <f t="shared" si="25"/>
        <v>1</v>
      </c>
      <c r="BR7" s="48">
        <f t="shared" si="26"/>
        <v>7.4999999999999997E-2</v>
      </c>
      <c r="BS7" s="48">
        <v>4.1355476190476192</v>
      </c>
      <c r="BT7" s="48">
        <v>4.0946016030174448</v>
      </c>
    </row>
    <row r="8" spans="1:72" x14ac:dyDescent="0.3">
      <c r="A8" s="13">
        <v>0</v>
      </c>
      <c r="B8" s="14">
        <v>896</v>
      </c>
      <c r="C8" s="15" t="s">
        <v>86</v>
      </c>
      <c r="D8" s="16" t="s">
        <v>87</v>
      </c>
      <c r="E8" s="268"/>
      <c r="F8" s="17">
        <v>132</v>
      </c>
      <c r="G8" s="18">
        <v>6.7</v>
      </c>
      <c r="H8" s="18">
        <v>2</v>
      </c>
      <c r="I8" s="18">
        <v>2.2000000000000002</v>
      </c>
      <c r="J8" s="18">
        <v>0.9</v>
      </c>
      <c r="K8" s="18">
        <v>0.1</v>
      </c>
      <c r="L8" s="18">
        <v>0</v>
      </c>
      <c r="M8" s="18">
        <v>17.899999999999999</v>
      </c>
      <c r="N8" s="18">
        <v>0.3</v>
      </c>
      <c r="O8" s="18">
        <v>74.400000000000006</v>
      </c>
      <c r="P8" s="19">
        <v>47</v>
      </c>
      <c r="Q8" s="19">
        <v>55</v>
      </c>
      <c r="R8" s="18">
        <v>6.6</v>
      </c>
      <c r="S8" s="18">
        <v>2.6</v>
      </c>
      <c r="T8" s="18">
        <v>0.04</v>
      </c>
      <c r="U8" s="18">
        <v>0.03</v>
      </c>
      <c r="V8" s="18">
        <v>1.8</v>
      </c>
      <c r="W8" s="18">
        <v>5.0999999999999996</v>
      </c>
      <c r="X8" s="19">
        <v>198</v>
      </c>
      <c r="Y8" s="18">
        <v>0.24</v>
      </c>
      <c r="Z8" s="18">
        <v>0.7</v>
      </c>
      <c r="AA8" s="18">
        <v>6</v>
      </c>
      <c r="AB8" s="18">
        <v>1.2</v>
      </c>
      <c r="AC8" s="19">
        <v>110</v>
      </c>
      <c r="AD8" s="19">
        <v>290</v>
      </c>
      <c r="AE8" s="17">
        <v>8</v>
      </c>
      <c r="AF8" s="17">
        <v>170</v>
      </c>
      <c r="AG8" s="17">
        <v>27</v>
      </c>
      <c r="AH8" s="20">
        <v>0.4</v>
      </c>
      <c r="AI8" s="21">
        <v>0.7</v>
      </c>
      <c r="AJ8" s="246"/>
      <c r="AK8" s="22">
        <v>0.12</v>
      </c>
      <c r="AL8" s="23">
        <v>0.24</v>
      </c>
      <c r="AM8" s="49" t="s">
        <v>75</v>
      </c>
      <c r="AN8" s="246"/>
      <c r="AO8" s="25">
        <f t="shared" si="0"/>
        <v>60.300000000000004</v>
      </c>
      <c r="AP8" s="27">
        <f t="shared" si="5"/>
        <v>2.4444444444444446</v>
      </c>
      <c r="AQ8" s="27">
        <f t="shared" si="6"/>
        <v>2.2222222222222223</v>
      </c>
      <c r="AR8" s="27">
        <f t="shared" si="28"/>
        <v>0.90909090909090906</v>
      </c>
      <c r="AS8" s="27">
        <f t="shared" si="29"/>
        <v>0.45</v>
      </c>
      <c r="AT8" s="26">
        <f t="shared" si="1"/>
        <v>71.599999999999994</v>
      </c>
      <c r="AU8" s="28">
        <f t="shared" si="2"/>
        <v>0.54283548142532212</v>
      </c>
      <c r="AV8" s="29">
        <f t="shared" si="3"/>
        <v>0.36</v>
      </c>
      <c r="AW8" s="30">
        <f t="shared" si="27"/>
        <v>1.44</v>
      </c>
      <c r="AX8" s="27">
        <f t="shared" si="4"/>
        <v>0.5</v>
      </c>
      <c r="AY8" s="31">
        <f t="shared" si="7"/>
        <v>6.8750000000000006E-2</v>
      </c>
      <c r="AZ8" s="31">
        <f t="shared" si="8"/>
        <v>1.3199999999999998</v>
      </c>
      <c r="BA8" s="31">
        <f t="shared" si="9"/>
        <v>0.21666666666666667</v>
      </c>
      <c r="BB8" s="31">
        <f t="shared" si="10"/>
        <v>3.6363636363636362E-2</v>
      </c>
      <c r="BC8" s="31">
        <f t="shared" si="11"/>
        <v>2.1428571428571429E-2</v>
      </c>
      <c r="BD8" s="31">
        <f t="shared" si="12"/>
        <v>0.1125</v>
      </c>
      <c r="BE8" s="31">
        <f t="shared" si="13"/>
        <v>0.17142857142857143</v>
      </c>
      <c r="BF8" s="31">
        <f t="shared" si="14"/>
        <v>0.27999999999999997</v>
      </c>
      <c r="BG8" s="31">
        <f t="shared" si="15"/>
        <v>0.03</v>
      </c>
      <c r="BH8" s="31">
        <f t="shared" si="16"/>
        <v>4.583333333333333E-2</v>
      </c>
      <c r="BI8" s="31">
        <f t="shared" si="17"/>
        <v>0.14499999999999999</v>
      </c>
      <c r="BJ8" s="31">
        <f t="shared" si="18"/>
        <v>0.01</v>
      </c>
      <c r="BK8" s="31">
        <f t="shared" si="19"/>
        <v>0.24285714285714285</v>
      </c>
      <c r="BL8" s="31">
        <f t="shared" si="20"/>
        <v>7.1999999999999995E-2</v>
      </c>
      <c r="BM8" s="31">
        <f t="shared" si="21"/>
        <v>2.8571428571428574E-2</v>
      </c>
      <c r="BN8" s="31">
        <f t="shared" si="22"/>
        <v>6.9999999999999993E-2</v>
      </c>
      <c r="BO8" s="32">
        <f t="shared" si="23"/>
        <v>75.315476190476176</v>
      </c>
      <c r="BP8" s="32">
        <f t="shared" si="24"/>
        <v>0.37931034482758619</v>
      </c>
      <c r="BQ8" s="32">
        <f t="shared" si="25"/>
        <v>0.57142857142857151</v>
      </c>
      <c r="BR8" s="32">
        <f t="shared" si="26"/>
        <v>4.7058823529411764E-2</v>
      </c>
      <c r="BS8" s="32">
        <v>3.3146785714285709</v>
      </c>
      <c r="BT8" s="32">
        <v>2.5111201298701293</v>
      </c>
    </row>
    <row r="9" spans="1:72" x14ac:dyDescent="0.3">
      <c r="A9" s="13">
        <v>0</v>
      </c>
      <c r="B9" s="14">
        <v>826</v>
      </c>
      <c r="C9" s="15" t="s">
        <v>88</v>
      </c>
      <c r="D9" s="16" t="s">
        <v>89</v>
      </c>
      <c r="E9" s="268"/>
      <c r="F9" s="33">
        <v>94</v>
      </c>
      <c r="G9" s="34">
        <v>1.4</v>
      </c>
      <c r="H9" s="34">
        <v>0.3</v>
      </c>
      <c r="I9" s="34">
        <v>0.5</v>
      </c>
      <c r="J9" s="34">
        <v>0.2</v>
      </c>
      <c r="K9" s="34">
        <v>0</v>
      </c>
      <c r="L9" s="34">
        <v>0</v>
      </c>
      <c r="M9" s="34">
        <v>20.399999999999999</v>
      </c>
      <c r="N9" s="34">
        <v>0.1</v>
      </c>
      <c r="O9" s="34">
        <v>76.7</v>
      </c>
      <c r="P9" s="35">
        <v>50</v>
      </c>
      <c r="Q9" s="35">
        <v>1</v>
      </c>
      <c r="R9" s="34">
        <v>16</v>
      </c>
      <c r="S9" s="34">
        <v>0.45</v>
      </c>
      <c r="T9" s="34">
        <v>7.0000000000000007E-2</v>
      </c>
      <c r="U9" s="34">
        <v>0.14000000000000001</v>
      </c>
      <c r="V9" s="34">
        <v>2.7</v>
      </c>
      <c r="W9" s="34">
        <v>6.5</v>
      </c>
      <c r="X9" s="35">
        <v>228</v>
      </c>
      <c r="Y9" s="34">
        <v>0.28999999999999998</v>
      </c>
      <c r="Z9" s="34">
        <v>0.3</v>
      </c>
      <c r="AA9" s="34">
        <v>12</v>
      </c>
      <c r="AB9" s="34">
        <v>1.2</v>
      </c>
      <c r="AC9" s="35">
        <v>56</v>
      </c>
      <c r="AD9" s="35">
        <v>430</v>
      </c>
      <c r="AE9" s="33">
        <v>13</v>
      </c>
      <c r="AF9" s="33">
        <v>230</v>
      </c>
      <c r="AG9" s="33">
        <v>31</v>
      </c>
      <c r="AH9" s="36">
        <v>0.3</v>
      </c>
      <c r="AI9" s="37">
        <v>0.5</v>
      </c>
      <c r="AJ9" s="246"/>
      <c r="AK9" s="38">
        <v>0.12</v>
      </c>
      <c r="AL9" s="39">
        <v>0.24</v>
      </c>
      <c r="AM9" s="40" t="s">
        <v>75</v>
      </c>
      <c r="AN9" s="246"/>
      <c r="AO9" s="41">
        <f t="shared" si="0"/>
        <v>12.6</v>
      </c>
      <c r="AP9" s="42">
        <f t="shared" si="5"/>
        <v>2.5</v>
      </c>
      <c r="AQ9" s="42">
        <f t="shared" si="6"/>
        <v>1.4999999999999998</v>
      </c>
      <c r="AR9" s="42">
        <f t="shared" si="28"/>
        <v>0.6</v>
      </c>
      <c r="AS9" s="42">
        <f t="shared" si="29"/>
        <v>0.66666666666666674</v>
      </c>
      <c r="AT9" s="43">
        <f t="shared" si="1"/>
        <v>81.599999999999994</v>
      </c>
      <c r="AU9" s="44">
        <f t="shared" si="2"/>
        <v>0.86624203821656054</v>
      </c>
      <c r="AV9" s="45">
        <f t="shared" si="3"/>
        <v>0.36</v>
      </c>
      <c r="AW9" s="46">
        <f t="shared" si="27"/>
        <v>1.44</v>
      </c>
      <c r="AX9" s="42">
        <f t="shared" si="4"/>
        <v>0.5</v>
      </c>
      <c r="AY9" s="47">
        <f t="shared" si="7"/>
        <v>1.25E-3</v>
      </c>
      <c r="AZ9" s="47">
        <f t="shared" si="8"/>
        <v>3.2</v>
      </c>
      <c r="BA9" s="47">
        <f t="shared" si="9"/>
        <v>3.7499999999999999E-2</v>
      </c>
      <c r="BB9" s="47">
        <f t="shared" si="10"/>
        <v>6.3636363636363644E-2</v>
      </c>
      <c r="BC9" s="47">
        <f t="shared" si="11"/>
        <v>0.10000000000000002</v>
      </c>
      <c r="BD9" s="47">
        <f t="shared" si="12"/>
        <v>0.16875000000000001</v>
      </c>
      <c r="BE9" s="47">
        <f t="shared" si="13"/>
        <v>0.20714285714285713</v>
      </c>
      <c r="BF9" s="47">
        <f t="shared" si="14"/>
        <v>0.12</v>
      </c>
      <c r="BG9" s="47">
        <f t="shared" si="15"/>
        <v>0.06</v>
      </c>
      <c r="BH9" s="47">
        <f t="shared" si="16"/>
        <v>2.3333333333333334E-2</v>
      </c>
      <c r="BI9" s="47">
        <f t="shared" si="17"/>
        <v>0.215</v>
      </c>
      <c r="BJ9" s="47">
        <f t="shared" si="18"/>
        <v>1.6250000000000001E-2</v>
      </c>
      <c r="BK9" s="47">
        <f t="shared" si="19"/>
        <v>0.32857142857142857</v>
      </c>
      <c r="BL9" s="47">
        <f t="shared" si="20"/>
        <v>8.2666666666666666E-2</v>
      </c>
      <c r="BM9" s="47">
        <f t="shared" si="21"/>
        <v>2.1428571428571429E-2</v>
      </c>
      <c r="BN9" s="47">
        <f t="shared" si="22"/>
        <v>0.05</v>
      </c>
      <c r="BO9" s="48">
        <f t="shared" si="23"/>
        <v>74.376190476190459</v>
      </c>
      <c r="BP9" s="48">
        <f t="shared" si="24"/>
        <v>0.13023255813953488</v>
      </c>
      <c r="BQ9" s="48">
        <f t="shared" si="25"/>
        <v>0.6</v>
      </c>
      <c r="BR9" s="48">
        <f t="shared" si="26"/>
        <v>5.6521739130434782E-2</v>
      </c>
      <c r="BS9" s="48">
        <v>5.2324880952380948</v>
      </c>
      <c r="BT9" s="48">
        <v>5.5664766970618027</v>
      </c>
    </row>
    <row r="10" spans="1:72" x14ac:dyDescent="0.3">
      <c r="A10" s="13">
        <v>0</v>
      </c>
      <c r="B10" s="14">
        <v>834</v>
      </c>
      <c r="C10" s="15" t="s">
        <v>90</v>
      </c>
      <c r="D10" s="16" t="s">
        <v>91</v>
      </c>
      <c r="E10" s="268"/>
      <c r="F10" s="17">
        <v>97</v>
      </c>
      <c r="G10" s="18">
        <v>2.9</v>
      </c>
      <c r="H10" s="18">
        <v>0.7</v>
      </c>
      <c r="I10" s="18">
        <v>1.2</v>
      </c>
      <c r="J10" s="18">
        <v>0.5</v>
      </c>
      <c r="K10" s="18">
        <v>0</v>
      </c>
      <c r="L10" s="18">
        <v>0</v>
      </c>
      <c r="M10" s="18">
        <v>17.8</v>
      </c>
      <c r="N10" s="18">
        <v>0.2</v>
      </c>
      <c r="O10" s="18">
        <v>77.5</v>
      </c>
      <c r="P10" s="19">
        <v>45</v>
      </c>
      <c r="Q10" s="19">
        <v>0</v>
      </c>
      <c r="R10" s="18">
        <v>1.3</v>
      </c>
      <c r="S10" s="18">
        <v>0.09</v>
      </c>
      <c r="T10" s="18">
        <v>0.11</v>
      </c>
      <c r="U10" s="18">
        <v>0.04</v>
      </c>
      <c r="V10" s="18">
        <v>4.0999999999999996</v>
      </c>
      <c r="W10" s="18">
        <v>7.4</v>
      </c>
      <c r="X10" s="19">
        <v>198</v>
      </c>
      <c r="Y10" s="18">
        <v>0.47</v>
      </c>
      <c r="Z10" s="18">
        <v>1.4</v>
      </c>
      <c r="AA10" s="18">
        <v>14</v>
      </c>
      <c r="AB10" s="18">
        <v>1.3</v>
      </c>
      <c r="AC10" s="19">
        <v>72</v>
      </c>
      <c r="AD10" s="19">
        <v>390</v>
      </c>
      <c r="AE10" s="17">
        <v>5</v>
      </c>
      <c r="AF10" s="17">
        <v>260</v>
      </c>
      <c r="AG10" s="17">
        <v>30</v>
      </c>
      <c r="AH10" s="20">
        <v>0.6</v>
      </c>
      <c r="AI10" s="21">
        <v>0.9</v>
      </c>
      <c r="AJ10" s="246"/>
      <c r="AK10" s="22">
        <v>0.108</v>
      </c>
      <c r="AL10" s="23">
        <v>0.64800000000000002</v>
      </c>
      <c r="AM10" s="24" t="s">
        <v>92</v>
      </c>
      <c r="AN10" s="246"/>
      <c r="AO10" s="25">
        <f t="shared" si="0"/>
        <v>26.099999999999998</v>
      </c>
      <c r="AP10" s="27">
        <f t="shared" si="5"/>
        <v>2.4</v>
      </c>
      <c r="AQ10" s="27">
        <f t="shared" si="6"/>
        <v>1.4</v>
      </c>
      <c r="AR10" s="27">
        <f t="shared" si="28"/>
        <v>0.58333333333333337</v>
      </c>
      <c r="AS10" s="27">
        <f t="shared" si="29"/>
        <v>0.7142857142857143</v>
      </c>
      <c r="AT10" s="26">
        <f t="shared" si="1"/>
        <v>71.2</v>
      </c>
      <c r="AU10" s="28">
        <f t="shared" si="2"/>
        <v>0.73175745118191171</v>
      </c>
      <c r="AV10" s="29">
        <f t="shared" si="3"/>
        <v>0.75600000000000001</v>
      </c>
      <c r="AW10" s="30">
        <f t="shared" si="27"/>
        <v>3.024</v>
      </c>
      <c r="AX10" s="27">
        <f t="shared" si="4"/>
        <v>0.16666666666666666</v>
      </c>
      <c r="AY10" s="31">
        <f t="shared" si="7"/>
        <v>0</v>
      </c>
      <c r="AZ10" s="31">
        <f t="shared" si="8"/>
        <v>0.26</v>
      </c>
      <c r="BA10" s="31">
        <f t="shared" si="9"/>
        <v>7.4999999999999997E-3</v>
      </c>
      <c r="BB10" s="31">
        <f t="shared" si="10"/>
        <v>9.9999999999999992E-2</v>
      </c>
      <c r="BC10" s="31">
        <f t="shared" si="11"/>
        <v>2.8571428571428574E-2</v>
      </c>
      <c r="BD10" s="31">
        <f t="shared" si="12"/>
        <v>0.25624999999999998</v>
      </c>
      <c r="BE10" s="31">
        <f t="shared" si="13"/>
        <v>0.33571428571428574</v>
      </c>
      <c r="BF10" s="31">
        <f t="shared" si="14"/>
        <v>0.55999999999999994</v>
      </c>
      <c r="BG10" s="31">
        <f t="shared" si="15"/>
        <v>7.0000000000000007E-2</v>
      </c>
      <c r="BH10" s="31">
        <f t="shared" si="16"/>
        <v>0.03</v>
      </c>
      <c r="BI10" s="31">
        <f t="shared" si="17"/>
        <v>0.19500000000000001</v>
      </c>
      <c r="BJ10" s="31">
        <f t="shared" si="18"/>
        <v>6.2500000000000003E-3</v>
      </c>
      <c r="BK10" s="31">
        <f t="shared" si="19"/>
        <v>0.37142857142857144</v>
      </c>
      <c r="BL10" s="31">
        <f t="shared" si="20"/>
        <v>0.08</v>
      </c>
      <c r="BM10" s="31">
        <f t="shared" si="21"/>
        <v>4.2857142857142858E-2</v>
      </c>
      <c r="BN10" s="31">
        <f t="shared" si="22"/>
        <v>0.09</v>
      </c>
      <c r="BO10" s="32">
        <f t="shared" si="23"/>
        <v>62.260714285714293</v>
      </c>
      <c r="BP10" s="32">
        <f t="shared" si="24"/>
        <v>0.18461538461538463</v>
      </c>
      <c r="BQ10" s="32">
        <f t="shared" si="25"/>
        <v>0.66666666666666663</v>
      </c>
      <c r="BR10" s="32">
        <f t="shared" si="26"/>
        <v>1.9230769230769232E-2</v>
      </c>
      <c r="BS10" s="32">
        <v>4.4011428571428572</v>
      </c>
      <c r="BT10" s="32">
        <v>4.5372606774668629</v>
      </c>
    </row>
    <row r="11" spans="1:72" x14ac:dyDescent="0.3">
      <c r="A11" s="13">
        <v>0</v>
      </c>
      <c r="B11" s="14">
        <v>2120000015</v>
      </c>
      <c r="C11" s="15" t="s">
        <v>93</v>
      </c>
      <c r="D11" s="16" t="s">
        <v>94</v>
      </c>
      <c r="E11" s="268"/>
      <c r="F11" s="33">
        <v>82</v>
      </c>
      <c r="G11" s="34">
        <v>0.6</v>
      </c>
      <c r="H11" s="34">
        <v>0.1</v>
      </c>
      <c r="I11" s="34">
        <v>0.1</v>
      </c>
      <c r="J11" s="34">
        <v>0.2</v>
      </c>
      <c r="K11" s="34">
        <v>0</v>
      </c>
      <c r="L11" s="34">
        <v>0</v>
      </c>
      <c r="M11" s="34">
        <v>19</v>
      </c>
      <c r="N11" s="34">
        <v>0.2</v>
      </c>
      <c r="O11" s="34">
        <v>78.8</v>
      </c>
      <c r="P11" s="35">
        <v>60</v>
      </c>
      <c r="Q11" s="35">
        <v>0</v>
      </c>
      <c r="R11" s="34">
        <v>1</v>
      </c>
      <c r="S11" s="34">
        <v>0.6</v>
      </c>
      <c r="T11" s="34">
        <v>0.02</v>
      </c>
      <c r="U11" s="34">
        <v>0.05</v>
      </c>
      <c r="V11" s="34">
        <v>1.8</v>
      </c>
      <c r="W11" s="34">
        <v>5.0999999999999996</v>
      </c>
      <c r="X11" s="35">
        <v>198</v>
      </c>
      <c r="Y11" s="34">
        <v>0.21</v>
      </c>
      <c r="Z11" s="34">
        <v>1</v>
      </c>
      <c r="AA11" s="34">
        <v>10</v>
      </c>
      <c r="AB11" s="34">
        <v>1.22</v>
      </c>
      <c r="AC11" s="35">
        <v>68</v>
      </c>
      <c r="AD11" s="35">
        <v>530</v>
      </c>
      <c r="AE11" s="33">
        <v>25</v>
      </c>
      <c r="AF11" s="33">
        <v>80</v>
      </c>
      <c r="AG11" s="33">
        <v>24</v>
      </c>
      <c r="AH11" s="36">
        <v>0.6</v>
      </c>
      <c r="AI11" s="37">
        <v>0.2</v>
      </c>
      <c r="AJ11" s="246"/>
      <c r="AK11" s="38">
        <v>0.12</v>
      </c>
      <c r="AL11" s="39">
        <v>0.24</v>
      </c>
      <c r="AM11" s="40" t="s">
        <v>75</v>
      </c>
      <c r="AN11" s="246"/>
      <c r="AO11" s="41">
        <f t="shared" si="0"/>
        <v>5.3999999999999995</v>
      </c>
      <c r="AP11" s="42">
        <f t="shared" si="5"/>
        <v>0.5</v>
      </c>
      <c r="AQ11" s="42">
        <f t="shared" si="6"/>
        <v>0.5</v>
      </c>
      <c r="AR11" s="42">
        <f t="shared" si="28"/>
        <v>1</v>
      </c>
      <c r="AS11" s="42">
        <f t="shared" si="29"/>
        <v>2</v>
      </c>
      <c r="AT11" s="43">
        <f t="shared" si="1"/>
        <v>76</v>
      </c>
      <c r="AU11" s="44">
        <f t="shared" si="2"/>
        <v>0.93366093366093361</v>
      </c>
      <c r="AV11" s="45">
        <f t="shared" si="3"/>
        <v>0.36</v>
      </c>
      <c r="AW11" s="46">
        <f t="shared" si="27"/>
        <v>1.44</v>
      </c>
      <c r="AX11" s="42">
        <f t="shared" si="4"/>
        <v>0.5</v>
      </c>
      <c r="AY11" s="47">
        <f t="shared" si="7"/>
        <v>0</v>
      </c>
      <c r="AZ11" s="47">
        <f t="shared" si="8"/>
        <v>0.2</v>
      </c>
      <c r="BA11" s="47">
        <f t="shared" si="9"/>
        <v>4.9999999999999996E-2</v>
      </c>
      <c r="BB11" s="47">
        <f t="shared" si="10"/>
        <v>1.8181818181818181E-2</v>
      </c>
      <c r="BC11" s="47">
        <f t="shared" si="11"/>
        <v>3.5714285714285719E-2</v>
      </c>
      <c r="BD11" s="47">
        <f t="shared" si="12"/>
        <v>0.1125</v>
      </c>
      <c r="BE11" s="47">
        <f t="shared" si="13"/>
        <v>0.15</v>
      </c>
      <c r="BF11" s="47">
        <f t="shared" si="14"/>
        <v>0.4</v>
      </c>
      <c r="BG11" s="47">
        <f t="shared" si="15"/>
        <v>0.05</v>
      </c>
      <c r="BH11" s="47">
        <f t="shared" si="16"/>
        <v>2.8333333333333332E-2</v>
      </c>
      <c r="BI11" s="47">
        <f t="shared" si="17"/>
        <v>0.26500000000000001</v>
      </c>
      <c r="BJ11" s="47">
        <f t="shared" si="18"/>
        <v>3.125E-2</v>
      </c>
      <c r="BK11" s="47">
        <f t="shared" si="19"/>
        <v>0.11428571428571428</v>
      </c>
      <c r="BL11" s="47">
        <f t="shared" si="20"/>
        <v>6.4000000000000001E-2</v>
      </c>
      <c r="BM11" s="47">
        <f t="shared" si="21"/>
        <v>4.2857142857142858E-2</v>
      </c>
      <c r="BN11" s="47">
        <f t="shared" si="22"/>
        <v>0.02</v>
      </c>
      <c r="BO11" s="48">
        <f t="shared" si="23"/>
        <v>79.977380952380955</v>
      </c>
      <c r="BP11" s="48">
        <f t="shared" si="24"/>
        <v>0.12830188679245283</v>
      </c>
      <c r="BQ11" s="48">
        <f t="shared" si="25"/>
        <v>2.9999999999999996</v>
      </c>
      <c r="BR11" s="48">
        <f t="shared" si="26"/>
        <v>0.3125</v>
      </c>
      <c r="BS11" s="48">
        <v>2.384238095238095</v>
      </c>
      <c r="BT11" s="48">
        <v>2.9076074332171888</v>
      </c>
    </row>
    <row r="12" spans="1:72" x14ac:dyDescent="0.3">
      <c r="A12" s="13">
        <v>0</v>
      </c>
      <c r="B12" s="14">
        <v>899</v>
      </c>
      <c r="C12" s="15" t="s">
        <v>95</v>
      </c>
      <c r="D12" s="16" t="s">
        <v>96</v>
      </c>
      <c r="E12" s="268"/>
      <c r="F12" s="17">
        <v>95</v>
      </c>
      <c r="G12" s="18">
        <v>1.4</v>
      </c>
      <c r="H12" s="18">
        <v>0.3</v>
      </c>
      <c r="I12" s="18">
        <v>0.3</v>
      </c>
      <c r="J12" s="18">
        <v>0.4</v>
      </c>
      <c r="K12" s="18">
        <v>0</v>
      </c>
      <c r="L12" s="18">
        <v>0</v>
      </c>
      <c r="M12" s="18">
        <v>20.5</v>
      </c>
      <c r="N12" s="18">
        <v>0.3</v>
      </c>
      <c r="O12" s="18">
        <v>76.5</v>
      </c>
      <c r="P12" s="19">
        <v>37</v>
      </c>
      <c r="Q12" s="19">
        <v>50</v>
      </c>
      <c r="R12" s="18">
        <v>7</v>
      </c>
      <c r="S12" s="18">
        <v>2.6</v>
      </c>
      <c r="T12" s="18">
        <v>0.03</v>
      </c>
      <c r="U12" s="18">
        <v>0.05</v>
      </c>
      <c r="V12" s="18">
        <v>1.1000000000000001</v>
      </c>
      <c r="W12" s="18">
        <v>4.9000000000000004</v>
      </c>
      <c r="X12" s="19">
        <v>228</v>
      </c>
      <c r="Y12" s="18">
        <v>0.3</v>
      </c>
      <c r="Z12" s="18">
        <v>1</v>
      </c>
      <c r="AA12" s="18">
        <v>6</v>
      </c>
      <c r="AB12" s="18">
        <v>1.4</v>
      </c>
      <c r="AC12" s="19">
        <v>130</v>
      </c>
      <c r="AD12" s="19">
        <v>300</v>
      </c>
      <c r="AE12" s="17">
        <v>18</v>
      </c>
      <c r="AF12" s="17">
        <v>160</v>
      </c>
      <c r="AG12" s="17">
        <v>31</v>
      </c>
      <c r="AH12" s="20">
        <v>0.6</v>
      </c>
      <c r="AI12" s="21">
        <v>0.5</v>
      </c>
      <c r="AJ12" s="246"/>
      <c r="AK12" s="22">
        <v>2.7E-2</v>
      </c>
      <c r="AL12" s="23">
        <v>0.22</v>
      </c>
      <c r="AM12" s="24" t="s">
        <v>97</v>
      </c>
      <c r="AN12" s="246"/>
      <c r="AO12" s="25">
        <f t="shared" si="0"/>
        <v>12.6</v>
      </c>
      <c r="AP12" s="27">
        <f t="shared" si="5"/>
        <v>0.74999999999999989</v>
      </c>
      <c r="AQ12" s="27">
        <f t="shared" si="6"/>
        <v>0.74999999999999989</v>
      </c>
      <c r="AR12" s="27">
        <f t="shared" si="28"/>
        <v>1</v>
      </c>
      <c r="AS12" s="27">
        <f t="shared" si="29"/>
        <v>1.3333333333333335</v>
      </c>
      <c r="AT12" s="26">
        <f t="shared" si="1"/>
        <v>82</v>
      </c>
      <c r="AU12" s="28">
        <f t="shared" si="2"/>
        <v>0.86680761099365755</v>
      </c>
      <c r="AV12" s="29">
        <f t="shared" si="3"/>
        <v>0.247</v>
      </c>
      <c r="AW12" s="30">
        <f t="shared" si="27"/>
        <v>0.98799999999999999</v>
      </c>
      <c r="AX12" s="27">
        <f t="shared" si="4"/>
        <v>0.12272727272727273</v>
      </c>
      <c r="AY12" s="31">
        <f t="shared" si="7"/>
        <v>6.25E-2</v>
      </c>
      <c r="AZ12" s="31">
        <f t="shared" si="8"/>
        <v>1.4</v>
      </c>
      <c r="BA12" s="31">
        <f t="shared" si="9"/>
        <v>0.21666666666666667</v>
      </c>
      <c r="BB12" s="31">
        <f t="shared" si="10"/>
        <v>2.7272727272727268E-2</v>
      </c>
      <c r="BC12" s="31">
        <f t="shared" si="11"/>
        <v>3.5714285714285719E-2</v>
      </c>
      <c r="BD12" s="31">
        <f t="shared" si="12"/>
        <v>6.8750000000000006E-2</v>
      </c>
      <c r="BE12" s="31">
        <f t="shared" si="13"/>
        <v>0.2142857142857143</v>
      </c>
      <c r="BF12" s="31">
        <f t="shared" si="14"/>
        <v>0.4</v>
      </c>
      <c r="BG12" s="31">
        <f t="shared" si="15"/>
        <v>0.03</v>
      </c>
      <c r="BH12" s="31">
        <f t="shared" si="16"/>
        <v>5.4166666666666669E-2</v>
      </c>
      <c r="BI12" s="31">
        <f t="shared" si="17"/>
        <v>0.15</v>
      </c>
      <c r="BJ12" s="31">
        <f t="shared" si="18"/>
        <v>2.2499999999999999E-2</v>
      </c>
      <c r="BK12" s="31">
        <f t="shared" si="19"/>
        <v>0.22857142857142856</v>
      </c>
      <c r="BL12" s="31">
        <f t="shared" si="20"/>
        <v>8.2666666666666666E-2</v>
      </c>
      <c r="BM12" s="31">
        <f t="shared" si="21"/>
        <v>4.2857142857142858E-2</v>
      </c>
      <c r="BN12" s="31">
        <f t="shared" si="22"/>
        <v>0.05</v>
      </c>
      <c r="BO12" s="32">
        <f t="shared" si="23"/>
        <v>91.802380952380943</v>
      </c>
      <c r="BP12" s="32">
        <f t="shared" si="24"/>
        <v>0.43333333333333335</v>
      </c>
      <c r="BQ12" s="32">
        <f t="shared" si="25"/>
        <v>1.2</v>
      </c>
      <c r="BR12" s="32">
        <f t="shared" si="26"/>
        <v>0.1125</v>
      </c>
      <c r="BS12" s="32">
        <v>3.2335238095238088</v>
      </c>
      <c r="BT12" s="32">
        <v>3.4037092731829568</v>
      </c>
    </row>
    <row r="13" spans="1:72" x14ac:dyDescent="0.3">
      <c r="A13" s="13">
        <v>0</v>
      </c>
      <c r="B13" s="14">
        <v>837</v>
      </c>
      <c r="C13" s="15" t="s">
        <v>98</v>
      </c>
      <c r="D13" s="16" t="s">
        <v>99</v>
      </c>
      <c r="E13" s="268"/>
      <c r="F13" s="33">
        <v>100</v>
      </c>
      <c r="G13" s="34">
        <v>2.7</v>
      </c>
      <c r="H13" s="34">
        <v>0.7</v>
      </c>
      <c r="I13" s="34">
        <v>0.8</v>
      </c>
      <c r="J13" s="34">
        <v>0.8</v>
      </c>
      <c r="K13" s="34">
        <v>0</v>
      </c>
      <c r="L13" s="34">
        <v>0</v>
      </c>
      <c r="M13" s="34">
        <v>18.8</v>
      </c>
      <c r="N13" s="34">
        <v>0.3</v>
      </c>
      <c r="O13" s="34">
        <v>76.8</v>
      </c>
      <c r="P13" s="35">
        <v>36</v>
      </c>
      <c r="Q13" s="35">
        <v>19</v>
      </c>
      <c r="R13" s="34">
        <v>15</v>
      </c>
      <c r="S13" s="34">
        <v>0.7</v>
      </c>
      <c r="T13" s="34">
        <v>0.05</v>
      </c>
      <c r="U13" s="34">
        <v>7.0000000000000007E-2</v>
      </c>
      <c r="V13" s="34">
        <v>2.6</v>
      </c>
      <c r="W13" s="34">
        <v>6.1</v>
      </c>
      <c r="X13" s="35">
        <v>210</v>
      </c>
      <c r="Y13" s="34">
        <v>0.41</v>
      </c>
      <c r="Z13" s="34">
        <v>1</v>
      </c>
      <c r="AA13" s="34">
        <v>15</v>
      </c>
      <c r="AB13" s="34">
        <v>1.5</v>
      </c>
      <c r="AC13" s="35">
        <v>100</v>
      </c>
      <c r="AD13" s="35">
        <v>370</v>
      </c>
      <c r="AE13" s="33">
        <v>7</v>
      </c>
      <c r="AF13" s="33">
        <v>260</v>
      </c>
      <c r="AG13" s="33">
        <v>32</v>
      </c>
      <c r="AH13" s="36">
        <v>0.4</v>
      </c>
      <c r="AI13" s="37">
        <v>0.7</v>
      </c>
      <c r="AJ13" s="246"/>
      <c r="AK13" s="38">
        <v>0.6</v>
      </c>
      <c r="AL13" s="39">
        <v>0.9</v>
      </c>
      <c r="AM13" s="40" t="s">
        <v>78</v>
      </c>
      <c r="AN13" s="246"/>
      <c r="AO13" s="41">
        <f t="shared" si="0"/>
        <v>24.3</v>
      </c>
      <c r="AP13" s="42">
        <f t="shared" si="5"/>
        <v>1</v>
      </c>
      <c r="AQ13" s="42">
        <f t="shared" si="6"/>
        <v>0.87499999999999989</v>
      </c>
      <c r="AR13" s="42">
        <f t="shared" si="28"/>
        <v>0.87499999999999989</v>
      </c>
      <c r="AS13" s="42">
        <f t="shared" si="29"/>
        <v>1.142857142857143</v>
      </c>
      <c r="AT13" s="43">
        <f t="shared" si="1"/>
        <v>75.2</v>
      </c>
      <c r="AU13" s="44">
        <f t="shared" si="2"/>
        <v>0.7557788944723618</v>
      </c>
      <c r="AV13" s="45">
        <f t="shared" si="3"/>
        <v>1.5</v>
      </c>
      <c r="AW13" s="46">
        <f t="shared" si="27"/>
        <v>6</v>
      </c>
      <c r="AX13" s="42">
        <f t="shared" si="4"/>
        <v>0.66666666666666663</v>
      </c>
      <c r="AY13" s="47">
        <f t="shared" si="7"/>
        <v>2.375E-2</v>
      </c>
      <c r="AZ13" s="47">
        <f t="shared" si="8"/>
        <v>3</v>
      </c>
      <c r="BA13" s="47">
        <f t="shared" si="9"/>
        <v>5.8333333333333327E-2</v>
      </c>
      <c r="BB13" s="47">
        <f t="shared" si="10"/>
        <v>4.5454545454545456E-2</v>
      </c>
      <c r="BC13" s="47">
        <f t="shared" si="11"/>
        <v>5.000000000000001E-2</v>
      </c>
      <c r="BD13" s="47">
        <f t="shared" si="12"/>
        <v>0.16250000000000001</v>
      </c>
      <c r="BE13" s="47">
        <f t="shared" si="13"/>
        <v>0.29285714285714287</v>
      </c>
      <c r="BF13" s="47">
        <f t="shared" si="14"/>
        <v>0.4</v>
      </c>
      <c r="BG13" s="47">
        <f t="shared" si="15"/>
        <v>7.4999999999999997E-2</v>
      </c>
      <c r="BH13" s="47">
        <f t="shared" si="16"/>
        <v>4.1666666666666664E-2</v>
      </c>
      <c r="BI13" s="47">
        <f t="shared" si="17"/>
        <v>0.185</v>
      </c>
      <c r="BJ13" s="47">
        <f t="shared" si="18"/>
        <v>8.7500000000000008E-3</v>
      </c>
      <c r="BK13" s="47">
        <f t="shared" si="19"/>
        <v>0.37142857142857144</v>
      </c>
      <c r="BL13" s="47">
        <f t="shared" si="20"/>
        <v>8.533333333333333E-2</v>
      </c>
      <c r="BM13" s="47">
        <f t="shared" si="21"/>
        <v>2.8571428571428574E-2</v>
      </c>
      <c r="BN13" s="47">
        <f t="shared" si="22"/>
        <v>6.9999999999999993E-2</v>
      </c>
      <c r="BO13" s="48">
        <f t="shared" si="23"/>
        <v>68.907142857142858</v>
      </c>
      <c r="BP13" s="48">
        <f t="shared" si="24"/>
        <v>0.27027027027027029</v>
      </c>
      <c r="BQ13" s="48">
        <f t="shared" si="25"/>
        <v>0.57142857142857151</v>
      </c>
      <c r="BR13" s="48">
        <f t="shared" si="26"/>
        <v>2.6923076923076925E-2</v>
      </c>
      <c r="BS13" s="48">
        <v>9.9388452380952383</v>
      </c>
      <c r="BT13" s="48">
        <v>9.9388452380952383</v>
      </c>
    </row>
    <row r="14" spans="1:72" x14ac:dyDescent="0.3">
      <c r="A14" s="13">
        <v>0</v>
      </c>
      <c r="B14" s="14">
        <v>841</v>
      </c>
      <c r="C14" s="15" t="s">
        <v>100</v>
      </c>
      <c r="D14" s="16" t="s">
        <v>101</v>
      </c>
      <c r="E14" s="268"/>
      <c r="F14" s="17">
        <v>80</v>
      </c>
      <c r="G14" s="18">
        <v>0.4</v>
      </c>
      <c r="H14" s="18">
        <v>0.1</v>
      </c>
      <c r="I14" s="18">
        <v>0.1</v>
      </c>
      <c r="J14" s="18">
        <v>0.1</v>
      </c>
      <c r="K14" s="18">
        <v>0</v>
      </c>
      <c r="L14" s="18">
        <v>0</v>
      </c>
      <c r="M14" s="18">
        <v>19</v>
      </c>
      <c r="N14" s="18">
        <v>0.2</v>
      </c>
      <c r="O14" s="18">
        <v>79.2</v>
      </c>
      <c r="P14" s="19">
        <v>32</v>
      </c>
      <c r="Q14" s="19">
        <v>10</v>
      </c>
      <c r="R14" s="18">
        <v>2.7</v>
      </c>
      <c r="S14" s="18">
        <v>0.62</v>
      </c>
      <c r="T14" s="18">
        <v>0.1</v>
      </c>
      <c r="U14" s="18">
        <v>0.02</v>
      </c>
      <c r="V14" s="18">
        <v>3.9</v>
      </c>
      <c r="W14" s="18">
        <v>7.4</v>
      </c>
      <c r="X14" s="19">
        <v>210</v>
      </c>
      <c r="Y14" s="18">
        <v>0.12</v>
      </c>
      <c r="Z14" s="18">
        <v>0.36</v>
      </c>
      <c r="AA14" s="18">
        <v>11</v>
      </c>
      <c r="AB14" s="18">
        <v>1.1000000000000001</v>
      </c>
      <c r="AC14" s="19">
        <v>72</v>
      </c>
      <c r="AD14" s="19">
        <v>320</v>
      </c>
      <c r="AE14" s="17">
        <v>14</v>
      </c>
      <c r="AF14" s="17">
        <v>210</v>
      </c>
      <c r="AG14" s="17">
        <v>32</v>
      </c>
      <c r="AH14" s="20">
        <v>0.2</v>
      </c>
      <c r="AI14" s="21">
        <v>0.4</v>
      </c>
      <c r="AJ14" s="246"/>
      <c r="AK14" s="22">
        <v>0.12</v>
      </c>
      <c r="AL14" s="23">
        <v>0.24</v>
      </c>
      <c r="AM14" s="49" t="s">
        <v>75</v>
      </c>
      <c r="AN14" s="246"/>
      <c r="AO14" s="25">
        <f t="shared" si="0"/>
        <v>3.6</v>
      </c>
      <c r="AP14" s="27">
        <f t="shared" si="5"/>
        <v>1</v>
      </c>
      <c r="AQ14" s="27">
        <f t="shared" si="6"/>
        <v>1</v>
      </c>
      <c r="AR14" s="27">
        <f t="shared" si="28"/>
        <v>1</v>
      </c>
      <c r="AS14" s="27">
        <f t="shared" si="29"/>
        <v>1</v>
      </c>
      <c r="AT14" s="26">
        <f t="shared" si="1"/>
        <v>76</v>
      </c>
      <c r="AU14" s="28">
        <f t="shared" si="2"/>
        <v>0.95477386934673369</v>
      </c>
      <c r="AV14" s="29">
        <f t="shared" si="3"/>
        <v>0.36</v>
      </c>
      <c r="AW14" s="30">
        <f t="shared" si="27"/>
        <v>1.44</v>
      </c>
      <c r="AX14" s="27">
        <f t="shared" si="4"/>
        <v>0.5</v>
      </c>
      <c r="AY14" s="31">
        <f t="shared" si="7"/>
        <v>1.2500000000000001E-2</v>
      </c>
      <c r="AZ14" s="31">
        <f t="shared" si="8"/>
        <v>0.54</v>
      </c>
      <c r="BA14" s="31">
        <f t="shared" si="9"/>
        <v>5.1666666666666666E-2</v>
      </c>
      <c r="BB14" s="31">
        <f t="shared" si="10"/>
        <v>9.0909090909090912E-2</v>
      </c>
      <c r="BC14" s="31">
        <f t="shared" si="11"/>
        <v>1.4285714285714287E-2</v>
      </c>
      <c r="BD14" s="31">
        <f t="shared" si="12"/>
        <v>0.24374999999999999</v>
      </c>
      <c r="BE14" s="31">
        <f t="shared" si="13"/>
        <v>8.5714285714285715E-2</v>
      </c>
      <c r="BF14" s="31">
        <f t="shared" si="14"/>
        <v>0.14399999999999999</v>
      </c>
      <c r="BG14" s="31">
        <f t="shared" si="15"/>
        <v>5.5E-2</v>
      </c>
      <c r="BH14" s="31">
        <f t="shared" si="16"/>
        <v>0.03</v>
      </c>
      <c r="BI14" s="31">
        <f t="shared" si="17"/>
        <v>0.16</v>
      </c>
      <c r="BJ14" s="31">
        <f t="shared" si="18"/>
        <v>1.7500000000000002E-2</v>
      </c>
      <c r="BK14" s="31">
        <f t="shared" si="19"/>
        <v>0.3</v>
      </c>
      <c r="BL14" s="31">
        <f t="shared" si="20"/>
        <v>8.533333333333333E-2</v>
      </c>
      <c r="BM14" s="31">
        <f t="shared" si="21"/>
        <v>1.4285714285714287E-2</v>
      </c>
      <c r="BN14" s="31">
        <f t="shared" si="22"/>
        <v>0.04</v>
      </c>
      <c r="BO14" s="32">
        <f t="shared" si="23"/>
        <v>68.628571428571433</v>
      </c>
      <c r="BP14" s="32">
        <f t="shared" si="24"/>
        <v>0.22500000000000001</v>
      </c>
      <c r="BQ14" s="32">
        <f t="shared" si="25"/>
        <v>0.5</v>
      </c>
      <c r="BR14" s="32">
        <f t="shared" si="26"/>
        <v>6.6666666666666666E-2</v>
      </c>
      <c r="BS14" s="32">
        <v>2.3944523809523814</v>
      </c>
      <c r="BT14" s="32">
        <v>2.9930654761904769</v>
      </c>
    </row>
    <row r="15" spans="1:72" x14ac:dyDescent="0.3">
      <c r="A15" s="13">
        <v>0</v>
      </c>
      <c r="B15" s="14">
        <v>845</v>
      </c>
      <c r="C15" s="15" t="s">
        <v>102</v>
      </c>
      <c r="D15" s="16" t="s">
        <v>103</v>
      </c>
      <c r="E15" s="268"/>
      <c r="F15" s="33">
        <v>82</v>
      </c>
      <c r="G15" s="34">
        <v>0.2</v>
      </c>
      <c r="H15" s="34">
        <v>0</v>
      </c>
      <c r="I15" s="34">
        <v>0</v>
      </c>
      <c r="J15" s="34">
        <v>0.1</v>
      </c>
      <c r="K15" s="34">
        <v>0</v>
      </c>
      <c r="L15" s="34">
        <v>0</v>
      </c>
      <c r="M15" s="34">
        <v>20.100000000000001</v>
      </c>
      <c r="N15" s="34">
        <v>0.2</v>
      </c>
      <c r="O15" s="34">
        <v>78.099999999999994</v>
      </c>
      <c r="P15" s="35">
        <v>44</v>
      </c>
      <c r="Q15" s="35">
        <v>4</v>
      </c>
      <c r="R15" s="34">
        <v>9.4</v>
      </c>
      <c r="S15" s="34">
        <v>0.32</v>
      </c>
      <c r="T15" s="34">
        <v>0.09</v>
      </c>
      <c r="U15" s="34">
        <v>0.13</v>
      </c>
      <c r="V15" s="34">
        <v>2.8</v>
      </c>
      <c r="W15" s="34">
        <v>6.6</v>
      </c>
      <c r="X15" s="35">
        <v>228</v>
      </c>
      <c r="Y15" s="34">
        <v>0.33</v>
      </c>
      <c r="Z15" s="34">
        <v>0.94</v>
      </c>
      <c r="AA15" s="34">
        <v>10</v>
      </c>
      <c r="AB15" s="34">
        <v>1.4</v>
      </c>
      <c r="AC15" s="35">
        <v>88</v>
      </c>
      <c r="AD15" s="35">
        <v>390</v>
      </c>
      <c r="AE15" s="33">
        <v>21</v>
      </c>
      <c r="AF15" s="33">
        <v>220</v>
      </c>
      <c r="AG15" s="33">
        <v>33</v>
      </c>
      <c r="AH15" s="36">
        <v>0.3</v>
      </c>
      <c r="AI15" s="37">
        <v>0.6</v>
      </c>
      <c r="AJ15" s="246"/>
      <c r="AK15" s="38">
        <v>0.13700000000000001</v>
      </c>
      <c r="AL15" s="39">
        <v>0.108</v>
      </c>
      <c r="AM15" s="50" t="s">
        <v>104</v>
      </c>
      <c r="AN15" s="246"/>
      <c r="AO15" s="41">
        <f t="shared" si="0"/>
        <v>1.8</v>
      </c>
      <c r="AP15" s="42">
        <f t="shared" si="5"/>
        <v>0</v>
      </c>
      <c r="AQ15" s="42">
        <f t="shared" si="6"/>
        <v>0</v>
      </c>
      <c r="AR15" s="42">
        <v>0</v>
      </c>
      <c r="AS15" s="42">
        <v>0</v>
      </c>
      <c r="AT15" s="43">
        <f t="shared" si="1"/>
        <v>80.400000000000006</v>
      </c>
      <c r="AU15" s="44">
        <f t="shared" si="2"/>
        <v>0.97810218978102192</v>
      </c>
      <c r="AV15" s="45">
        <f t="shared" si="3"/>
        <v>0.245</v>
      </c>
      <c r="AW15" s="46">
        <f t="shared" si="27"/>
        <v>0.98</v>
      </c>
      <c r="AX15" s="42">
        <f t="shared" si="4"/>
        <v>1.2685185185185186</v>
      </c>
      <c r="AY15" s="47">
        <f t="shared" si="7"/>
        <v>5.0000000000000001E-3</v>
      </c>
      <c r="AZ15" s="47">
        <f t="shared" si="8"/>
        <v>1.8800000000000001</v>
      </c>
      <c r="BA15" s="47">
        <f t="shared" si="9"/>
        <v>2.6666666666666668E-2</v>
      </c>
      <c r="BB15" s="47">
        <f t="shared" si="10"/>
        <v>8.1818181818181804E-2</v>
      </c>
      <c r="BC15" s="47">
        <f t="shared" si="11"/>
        <v>9.285714285714286E-2</v>
      </c>
      <c r="BD15" s="47">
        <f t="shared" si="12"/>
        <v>0.17499999999999999</v>
      </c>
      <c r="BE15" s="47">
        <f t="shared" si="13"/>
        <v>0.23571428571428574</v>
      </c>
      <c r="BF15" s="47">
        <f t="shared" si="14"/>
        <v>0.376</v>
      </c>
      <c r="BG15" s="47">
        <f t="shared" si="15"/>
        <v>0.05</v>
      </c>
      <c r="BH15" s="47">
        <f t="shared" si="16"/>
        <v>3.6666666666666667E-2</v>
      </c>
      <c r="BI15" s="47">
        <f t="shared" si="17"/>
        <v>0.19500000000000001</v>
      </c>
      <c r="BJ15" s="47">
        <f t="shared" si="18"/>
        <v>2.6249999999999999E-2</v>
      </c>
      <c r="BK15" s="47">
        <f t="shared" si="19"/>
        <v>0.31428571428571428</v>
      </c>
      <c r="BL15" s="47">
        <f t="shared" si="20"/>
        <v>8.7999999999999995E-2</v>
      </c>
      <c r="BM15" s="47">
        <f t="shared" si="21"/>
        <v>2.1428571428571429E-2</v>
      </c>
      <c r="BN15" s="47">
        <f t="shared" si="22"/>
        <v>0.06</v>
      </c>
      <c r="BO15" s="48">
        <f t="shared" si="23"/>
        <v>72.767857142857139</v>
      </c>
      <c r="BP15" s="48">
        <f t="shared" si="24"/>
        <v>0.22564102564102564</v>
      </c>
      <c r="BQ15" s="48">
        <f t="shared" si="25"/>
        <v>0.5</v>
      </c>
      <c r="BR15" s="48">
        <f t="shared" si="26"/>
        <v>9.5454545454545459E-2</v>
      </c>
      <c r="BS15" s="48">
        <v>3.7506666666666666</v>
      </c>
      <c r="BT15" s="48">
        <v>4.5739837398373986</v>
      </c>
    </row>
    <row r="16" spans="1:72" x14ac:dyDescent="0.3">
      <c r="A16" s="13">
        <v>0</v>
      </c>
      <c r="B16" s="14">
        <v>848</v>
      </c>
      <c r="C16" s="15" t="s">
        <v>105</v>
      </c>
      <c r="D16" s="16" t="s">
        <v>106</v>
      </c>
      <c r="E16" s="268"/>
      <c r="F16" s="17">
        <v>70</v>
      </c>
      <c r="G16" s="18">
        <v>0.1</v>
      </c>
      <c r="H16" s="18">
        <v>0</v>
      </c>
      <c r="I16" s="18">
        <v>0</v>
      </c>
      <c r="J16" s="18">
        <v>0.1</v>
      </c>
      <c r="K16" s="18">
        <v>0</v>
      </c>
      <c r="L16" s="18">
        <v>0</v>
      </c>
      <c r="M16" s="18">
        <v>17.2</v>
      </c>
      <c r="N16" s="18">
        <v>0.3</v>
      </c>
      <c r="O16" s="18">
        <v>81.7</v>
      </c>
      <c r="P16" s="19">
        <v>28</v>
      </c>
      <c r="Q16" s="19">
        <v>9</v>
      </c>
      <c r="R16" s="18">
        <v>0.4</v>
      </c>
      <c r="S16" s="18">
        <v>0.13</v>
      </c>
      <c r="T16" s="18">
        <v>0.04</v>
      </c>
      <c r="U16" s="18">
        <v>0.02</v>
      </c>
      <c r="V16" s="18">
        <v>0.67</v>
      </c>
      <c r="W16" s="18">
        <v>3.9</v>
      </c>
      <c r="X16" s="19">
        <v>192</v>
      </c>
      <c r="Y16" s="18">
        <v>7.0000000000000007E-2</v>
      </c>
      <c r="Z16" s="18">
        <v>0.48</v>
      </c>
      <c r="AA16" s="18">
        <v>6.8</v>
      </c>
      <c r="AB16" s="18">
        <v>1</v>
      </c>
      <c r="AC16" s="19">
        <v>120</v>
      </c>
      <c r="AD16" s="19">
        <v>260</v>
      </c>
      <c r="AE16" s="17">
        <v>25</v>
      </c>
      <c r="AF16" s="17">
        <v>180</v>
      </c>
      <c r="AG16" s="17">
        <v>25</v>
      </c>
      <c r="AH16" s="20">
        <v>0.2</v>
      </c>
      <c r="AI16" s="21">
        <v>0.7</v>
      </c>
      <c r="AJ16" s="246"/>
      <c r="AK16" s="22">
        <v>0</v>
      </c>
      <c r="AL16" s="23">
        <v>0</v>
      </c>
      <c r="AM16" s="49" t="s">
        <v>81</v>
      </c>
      <c r="AN16" s="246"/>
      <c r="AO16" s="25">
        <f t="shared" si="0"/>
        <v>0.9</v>
      </c>
      <c r="AP16" s="27">
        <f t="shared" si="5"/>
        <v>0</v>
      </c>
      <c r="AQ16" s="27">
        <f t="shared" si="6"/>
        <v>0</v>
      </c>
      <c r="AR16" s="27">
        <v>0</v>
      </c>
      <c r="AS16" s="27">
        <v>0</v>
      </c>
      <c r="AT16" s="26">
        <f t="shared" si="1"/>
        <v>68.8</v>
      </c>
      <c r="AU16" s="28">
        <f t="shared" si="2"/>
        <v>0.98708751793400273</v>
      </c>
      <c r="AV16" s="29">
        <f t="shared" si="3"/>
        <v>0</v>
      </c>
      <c r="AW16" s="30">
        <f t="shared" si="27"/>
        <v>0</v>
      </c>
      <c r="AX16" s="27">
        <v>0</v>
      </c>
      <c r="AY16" s="31">
        <f t="shared" si="7"/>
        <v>1.125E-2</v>
      </c>
      <c r="AZ16" s="31">
        <f t="shared" si="8"/>
        <v>0.08</v>
      </c>
      <c r="BA16" s="31">
        <f t="shared" si="9"/>
        <v>1.0833333333333334E-2</v>
      </c>
      <c r="BB16" s="31">
        <f t="shared" si="10"/>
        <v>3.6363636363636362E-2</v>
      </c>
      <c r="BC16" s="31">
        <f t="shared" si="11"/>
        <v>1.4285714285714287E-2</v>
      </c>
      <c r="BD16" s="31">
        <f t="shared" si="12"/>
        <v>4.1875000000000002E-2</v>
      </c>
      <c r="BE16" s="31">
        <f t="shared" si="13"/>
        <v>5.000000000000001E-2</v>
      </c>
      <c r="BF16" s="31">
        <f t="shared" si="14"/>
        <v>0.192</v>
      </c>
      <c r="BG16" s="31">
        <f t="shared" si="15"/>
        <v>3.4000000000000002E-2</v>
      </c>
      <c r="BH16" s="31">
        <f t="shared" si="16"/>
        <v>0.05</v>
      </c>
      <c r="BI16" s="31">
        <f t="shared" si="17"/>
        <v>0.13</v>
      </c>
      <c r="BJ16" s="31">
        <f t="shared" si="18"/>
        <v>3.125E-2</v>
      </c>
      <c r="BK16" s="31">
        <f t="shared" si="19"/>
        <v>0.25714285714285712</v>
      </c>
      <c r="BL16" s="31">
        <f t="shared" si="20"/>
        <v>6.6666666666666666E-2</v>
      </c>
      <c r="BM16" s="31">
        <f t="shared" si="21"/>
        <v>1.4285714285714287E-2</v>
      </c>
      <c r="BN16" s="31">
        <f t="shared" si="22"/>
        <v>6.9999999999999993E-2</v>
      </c>
      <c r="BO16" s="32">
        <f t="shared" si="23"/>
        <v>55.828571428571429</v>
      </c>
      <c r="BP16" s="32">
        <f t="shared" si="24"/>
        <v>0.46153846153846156</v>
      </c>
      <c r="BQ16" s="32">
        <f t="shared" si="25"/>
        <v>0.28571428571428575</v>
      </c>
      <c r="BR16" s="32">
        <f t="shared" si="26"/>
        <v>0.1388888888888889</v>
      </c>
      <c r="BS16" s="32">
        <v>0.48515476190476181</v>
      </c>
      <c r="BT16" s="32">
        <v>0.69307823129251689</v>
      </c>
    </row>
    <row r="17" spans="1:72" x14ac:dyDescent="0.3">
      <c r="A17" s="13">
        <v>0</v>
      </c>
      <c r="B17" s="14">
        <v>850</v>
      </c>
      <c r="C17" s="15" t="s">
        <v>107</v>
      </c>
      <c r="D17" s="16" t="s">
        <v>108</v>
      </c>
      <c r="E17" s="268"/>
      <c r="F17" s="33">
        <v>79</v>
      </c>
      <c r="G17" s="34">
        <v>0.2</v>
      </c>
      <c r="H17" s="34">
        <v>0</v>
      </c>
      <c r="I17" s="34">
        <v>0</v>
      </c>
      <c r="J17" s="34">
        <v>0.1</v>
      </c>
      <c r="K17" s="34">
        <v>0</v>
      </c>
      <c r="L17" s="34">
        <v>0</v>
      </c>
      <c r="M17" s="34">
        <v>19.399999999999999</v>
      </c>
      <c r="N17" s="34">
        <v>0.2</v>
      </c>
      <c r="O17" s="34">
        <v>78.5</v>
      </c>
      <c r="P17" s="35">
        <v>38</v>
      </c>
      <c r="Q17" s="35">
        <v>6</v>
      </c>
      <c r="R17" s="34">
        <v>9</v>
      </c>
      <c r="S17" s="34">
        <v>0.45</v>
      </c>
      <c r="T17" s="34">
        <v>0.25</v>
      </c>
      <c r="U17" s="34">
        <v>0.02</v>
      </c>
      <c r="V17" s="34">
        <v>4.8</v>
      </c>
      <c r="W17" s="34">
        <v>8.4</v>
      </c>
      <c r="X17" s="35">
        <v>216</v>
      </c>
      <c r="Y17" s="34">
        <v>0.5</v>
      </c>
      <c r="Z17" s="34">
        <v>2.1</v>
      </c>
      <c r="AA17" s="34">
        <v>10</v>
      </c>
      <c r="AB17" s="34">
        <v>1.3</v>
      </c>
      <c r="AC17" s="35">
        <v>65</v>
      </c>
      <c r="AD17" s="35">
        <v>450</v>
      </c>
      <c r="AE17" s="33">
        <v>7</v>
      </c>
      <c r="AF17" s="33">
        <v>260</v>
      </c>
      <c r="AG17" s="33">
        <v>36</v>
      </c>
      <c r="AH17" s="36">
        <v>0.7</v>
      </c>
      <c r="AI17" s="37">
        <v>0.7</v>
      </c>
      <c r="AJ17" s="246"/>
      <c r="AK17" s="38">
        <v>0.12</v>
      </c>
      <c r="AL17" s="39">
        <v>0.24</v>
      </c>
      <c r="AM17" s="40" t="s">
        <v>75</v>
      </c>
      <c r="AN17" s="246"/>
      <c r="AO17" s="41">
        <f t="shared" si="0"/>
        <v>1.8</v>
      </c>
      <c r="AP17" s="42">
        <f t="shared" si="5"/>
        <v>0</v>
      </c>
      <c r="AQ17" s="42">
        <f t="shared" si="6"/>
        <v>0</v>
      </c>
      <c r="AR17" s="42">
        <v>0</v>
      </c>
      <c r="AS17" s="42">
        <v>0</v>
      </c>
      <c r="AT17" s="43">
        <f t="shared" si="1"/>
        <v>77.599999999999994</v>
      </c>
      <c r="AU17" s="44">
        <f t="shared" si="2"/>
        <v>0.97732997481108319</v>
      </c>
      <c r="AV17" s="45">
        <f t="shared" si="3"/>
        <v>0.36</v>
      </c>
      <c r="AW17" s="46">
        <f t="shared" si="27"/>
        <v>1.44</v>
      </c>
      <c r="AX17" s="42">
        <f t="shared" ref="AX17:AX24" si="30">AK17/AL17</f>
        <v>0.5</v>
      </c>
      <c r="AY17" s="47">
        <f t="shared" si="7"/>
        <v>7.4999999999999997E-3</v>
      </c>
      <c r="AZ17" s="47">
        <f t="shared" si="8"/>
        <v>1.8</v>
      </c>
      <c r="BA17" s="47">
        <f t="shared" si="9"/>
        <v>3.7499999999999999E-2</v>
      </c>
      <c r="BB17" s="47">
        <f t="shared" si="10"/>
        <v>0.22727272727272727</v>
      </c>
      <c r="BC17" s="47">
        <f t="shared" si="11"/>
        <v>1.4285714285714287E-2</v>
      </c>
      <c r="BD17" s="47">
        <f t="shared" si="12"/>
        <v>0.3</v>
      </c>
      <c r="BE17" s="47">
        <f t="shared" si="13"/>
        <v>0.35714285714285715</v>
      </c>
      <c r="BF17" s="47">
        <f t="shared" si="14"/>
        <v>0.84000000000000008</v>
      </c>
      <c r="BG17" s="47">
        <f t="shared" si="15"/>
        <v>0.05</v>
      </c>
      <c r="BH17" s="47">
        <f t="shared" si="16"/>
        <v>2.7083333333333334E-2</v>
      </c>
      <c r="BI17" s="47">
        <f t="shared" si="17"/>
        <v>0.22500000000000001</v>
      </c>
      <c r="BJ17" s="47">
        <f t="shared" si="18"/>
        <v>8.7500000000000008E-3</v>
      </c>
      <c r="BK17" s="47">
        <f t="shared" si="19"/>
        <v>0.37142857142857144</v>
      </c>
      <c r="BL17" s="47">
        <f t="shared" si="20"/>
        <v>9.6000000000000002E-2</v>
      </c>
      <c r="BM17" s="47">
        <f t="shared" si="21"/>
        <v>4.9999999999999996E-2</v>
      </c>
      <c r="BN17" s="47">
        <f t="shared" si="22"/>
        <v>6.9999999999999993E-2</v>
      </c>
      <c r="BO17" s="48">
        <f t="shared" si="23"/>
        <v>78.566666666666649</v>
      </c>
      <c r="BP17" s="48">
        <f t="shared" si="24"/>
        <v>0.14444444444444443</v>
      </c>
      <c r="BQ17" s="48">
        <f t="shared" si="25"/>
        <v>1</v>
      </c>
      <c r="BR17" s="48">
        <f t="shared" si="26"/>
        <v>2.6923076923076925E-2</v>
      </c>
      <c r="BS17" s="48">
        <v>4.7461785714285716</v>
      </c>
      <c r="BT17" s="48">
        <v>6.0078209764918622</v>
      </c>
    </row>
    <row r="18" spans="1:72" x14ac:dyDescent="0.3">
      <c r="A18" s="13">
        <v>0</v>
      </c>
      <c r="B18" s="14">
        <v>853</v>
      </c>
      <c r="C18" s="15" t="s">
        <v>109</v>
      </c>
      <c r="D18" s="16" t="s">
        <v>110</v>
      </c>
      <c r="E18" s="268"/>
      <c r="F18" s="17">
        <v>80</v>
      </c>
      <c r="G18" s="18">
        <v>0.7</v>
      </c>
      <c r="H18" s="18">
        <v>0.1</v>
      </c>
      <c r="I18" s="18">
        <v>0.1</v>
      </c>
      <c r="J18" s="18">
        <v>0.2</v>
      </c>
      <c r="K18" s="18">
        <v>0</v>
      </c>
      <c r="L18" s="18">
        <v>0</v>
      </c>
      <c r="M18" s="18">
        <v>18.5</v>
      </c>
      <c r="N18" s="18">
        <v>0.2</v>
      </c>
      <c r="O18" s="18">
        <v>79.599999999999994</v>
      </c>
      <c r="P18" s="19">
        <v>34</v>
      </c>
      <c r="Q18" s="19">
        <v>6</v>
      </c>
      <c r="R18" s="18">
        <v>0.9</v>
      </c>
      <c r="S18" s="18">
        <v>1.9</v>
      </c>
      <c r="T18" s="18">
        <v>0.13</v>
      </c>
      <c r="U18" s="18">
        <v>0.06</v>
      </c>
      <c r="V18" s="18">
        <v>1.6</v>
      </c>
      <c r="W18" s="18">
        <v>5.0999999999999996</v>
      </c>
      <c r="X18" s="19">
        <v>210</v>
      </c>
      <c r="Y18" s="18">
        <v>0.22</v>
      </c>
      <c r="Z18" s="18">
        <v>1.3</v>
      </c>
      <c r="AA18" s="18">
        <v>7</v>
      </c>
      <c r="AB18" s="18">
        <v>1.1000000000000001</v>
      </c>
      <c r="AC18" s="19">
        <v>81</v>
      </c>
      <c r="AD18" s="19">
        <v>320</v>
      </c>
      <c r="AE18" s="17">
        <v>12</v>
      </c>
      <c r="AF18" s="17">
        <v>180</v>
      </c>
      <c r="AG18" s="17">
        <v>28</v>
      </c>
      <c r="AH18" s="20">
        <v>0.5</v>
      </c>
      <c r="AI18" s="21">
        <v>0.8</v>
      </c>
      <c r="AJ18" s="246"/>
      <c r="AK18" s="22">
        <v>0.6</v>
      </c>
      <c r="AL18" s="23">
        <v>0.9</v>
      </c>
      <c r="AM18" s="49" t="s">
        <v>78</v>
      </c>
      <c r="AN18" s="246"/>
      <c r="AO18" s="25">
        <f t="shared" si="0"/>
        <v>6.3</v>
      </c>
      <c r="AP18" s="27">
        <f t="shared" si="5"/>
        <v>0.5</v>
      </c>
      <c r="AQ18" s="27">
        <f t="shared" si="6"/>
        <v>0.5</v>
      </c>
      <c r="AR18" s="27">
        <f>H18/I18</f>
        <v>1</v>
      </c>
      <c r="AS18" s="27">
        <f>J18/H18</f>
        <v>2</v>
      </c>
      <c r="AT18" s="26">
        <f t="shared" si="1"/>
        <v>74</v>
      </c>
      <c r="AU18" s="28">
        <f t="shared" si="2"/>
        <v>0.92154420921544211</v>
      </c>
      <c r="AV18" s="29">
        <f t="shared" si="3"/>
        <v>1.5</v>
      </c>
      <c r="AW18" s="30">
        <f t="shared" si="27"/>
        <v>6</v>
      </c>
      <c r="AX18" s="27">
        <f t="shared" si="30"/>
        <v>0.66666666666666663</v>
      </c>
      <c r="AY18" s="31">
        <f t="shared" si="7"/>
        <v>7.4999999999999997E-3</v>
      </c>
      <c r="AZ18" s="31">
        <f t="shared" si="8"/>
        <v>0.18</v>
      </c>
      <c r="BA18" s="31">
        <f t="shared" si="9"/>
        <v>0.15833333333333333</v>
      </c>
      <c r="BB18" s="31">
        <f t="shared" si="10"/>
        <v>0.11818181818181818</v>
      </c>
      <c r="BC18" s="31">
        <f t="shared" si="11"/>
        <v>4.2857142857142858E-2</v>
      </c>
      <c r="BD18" s="31">
        <f t="shared" si="12"/>
        <v>0.1</v>
      </c>
      <c r="BE18" s="31">
        <f t="shared" si="13"/>
        <v>0.15714285714285717</v>
      </c>
      <c r="BF18" s="31">
        <f t="shared" si="14"/>
        <v>0.52</v>
      </c>
      <c r="BG18" s="31">
        <f t="shared" si="15"/>
        <v>3.5000000000000003E-2</v>
      </c>
      <c r="BH18" s="31">
        <f t="shared" si="16"/>
        <v>3.3750000000000002E-2</v>
      </c>
      <c r="BI18" s="31">
        <f t="shared" si="17"/>
        <v>0.16</v>
      </c>
      <c r="BJ18" s="31">
        <f t="shared" si="18"/>
        <v>1.4999999999999999E-2</v>
      </c>
      <c r="BK18" s="31">
        <f t="shared" si="19"/>
        <v>0.25714285714285712</v>
      </c>
      <c r="BL18" s="31">
        <f t="shared" si="20"/>
        <v>7.4666666666666673E-2</v>
      </c>
      <c r="BM18" s="31">
        <f t="shared" si="21"/>
        <v>3.5714285714285712E-2</v>
      </c>
      <c r="BN18" s="31">
        <f t="shared" si="22"/>
        <v>0.08</v>
      </c>
      <c r="BO18" s="32">
        <f t="shared" si="23"/>
        <v>78.246428571428581</v>
      </c>
      <c r="BP18" s="32">
        <f t="shared" si="24"/>
        <v>0.25312499999999999</v>
      </c>
      <c r="BQ18" s="32">
        <f t="shared" si="25"/>
        <v>0.625</v>
      </c>
      <c r="BR18" s="32">
        <f t="shared" si="26"/>
        <v>6.6666666666666666E-2</v>
      </c>
      <c r="BS18" s="32">
        <v>7.1057976190476193</v>
      </c>
      <c r="BT18" s="32">
        <v>8.8822470238095228</v>
      </c>
    </row>
    <row r="19" spans="1:72" x14ac:dyDescent="0.3">
      <c r="A19" s="13">
        <v>0</v>
      </c>
      <c r="B19" s="14">
        <v>856</v>
      </c>
      <c r="C19" s="15" t="s">
        <v>111</v>
      </c>
      <c r="D19" s="16" t="s">
        <v>112</v>
      </c>
      <c r="E19" s="268"/>
      <c r="F19" s="33">
        <v>117</v>
      </c>
      <c r="G19" s="34">
        <v>4</v>
      </c>
      <c r="H19" s="34">
        <v>1</v>
      </c>
      <c r="I19" s="34">
        <v>1.7</v>
      </c>
      <c r="J19" s="34">
        <v>0.8</v>
      </c>
      <c r="K19" s="34">
        <v>0</v>
      </c>
      <c r="L19" s="34">
        <v>0</v>
      </c>
      <c r="M19" s="34">
        <v>20.3</v>
      </c>
      <c r="N19" s="34">
        <v>0.2</v>
      </c>
      <c r="O19" s="34">
        <v>74.400000000000006</v>
      </c>
      <c r="P19" s="35">
        <v>38</v>
      </c>
      <c r="Q19" s="35">
        <v>17</v>
      </c>
      <c r="R19" s="34">
        <v>1.1000000000000001</v>
      </c>
      <c r="S19" s="34">
        <v>1.2</v>
      </c>
      <c r="T19" s="34">
        <v>0.05</v>
      </c>
      <c r="U19" s="34">
        <v>0.06</v>
      </c>
      <c r="V19" s="34">
        <v>3.6</v>
      </c>
      <c r="W19" s="34">
        <v>7.4</v>
      </c>
      <c r="X19" s="35">
        <v>228</v>
      </c>
      <c r="Y19" s="34">
        <v>0.19</v>
      </c>
      <c r="Z19" s="34">
        <v>2.2000000000000002</v>
      </c>
      <c r="AA19" s="34">
        <v>30</v>
      </c>
      <c r="AB19" s="34">
        <v>1.3</v>
      </c>
      <c r="AC19" s="35">
        <v>77</v>
      </c>
      <c r="AD19" s="35">
        <v>250</v>
      </c>
      <c r="AE19" s="33">
        <v>16</v>
      </c>
      <c r="AF19" s="33">
        <v>180</v>
      </c>
      <c r="AG19" s="33">
        <v>26</v>
      </c>
      <c r="AH19" s="36">
        <v>0.4</v>
      </c>
      <c r="AI19" s="37">
        <v>0.6</v>
      </c>
      <c r="AJ19" s="246"/>
      <c r="AK19" s="38">
        <v>0.12</v>
      </c>
      <c r="AL19" s="39">
        <v>0.24</v>
      </c>
      <c r="AM19" s="40" t="s">
        <v>75</v>
      </c>
      <c r="AN19" s="246"/>
      <c r="AO19" s="41">
        <f t="shared" si="0"/>
        <v>36</v>
      </c>
      <c r="AP19" s="42">
        <f t="shared" si="5"/>
        <v>2.125</v>
      </c>
      <c r="AQ19" s="42">
        <f t="shared" si="6"/>
        <v>1.25</v>
      </c>
      <c r="AR19" s="42">
        <f t="shared" ref="AR19:AR21" si="31">H19/I19</f>
        <v>0.58823529411764708</v>
      </c>
      <c r="AS19" s="42">
        <f t="shared" ref="AS19:AS21" si="32">J19/H19</f>
        <v>0.8</v>
      </c>
      <c r="AT19" s="43">
        <f t="shared" si="1"/>
        <v>81.2</v>
      </c>
      <c r="AU19" s="44">
        <f t="shared" si="2"/>
        <v>0.69283276450511944</v>
      </c>
      <c r="AV19" s="45">
        <f t="shared" si="3"/>
        <v>0.36</v>
      </c>
      <c r="AW19" s="46">
        <f t="shared" si="27"/>
        <v>1.44</v>
      </c>
      <c r="AX19" s="42">
        <f t="shared" si="30"/>
        <v>0.5</v>
      </c>
      <c r="AY19" s="47">
        <f t="shared" si="7"/>
        <v>2.1250000000000002E-2</v>
      </c>
      <c r="AZ19" s="47">
        <f t="shared" si="8"/>
        <v>0.22000000000000003</v>
      </c>
      <c r="BA19" s="47">
        <f t="shared" si="9"/>
        <v>9.9999999999999992E-2</v>
      </c>
      <c r="BB19" s="47">
        <f t="shared" si="10"/>
        <v>4.5454545454545456E-2</v>
      </c>
      <c r="BC19" s="47">
        <f t="shared" si="11"/>
        <v>4.2857142857142858E-2</v>
      </c>
      <c r="BD19" s="47">
        <f t="shared" si="12"/>
        <v>0.22500000000000001</v>
      </c>
      <c r="BE19" s="47">
        <f t="shared" si="13"/>
        <v>0.13571428571428573</v>
      </c>
      <c r="BF19" s="47">
        <f t="shared" si="14"/>
        <v>0.88000000000000012</v>
      </c>
      <c r="BG19" s="47">
        <f t="shared" si="15"/>
        <v>0.15</v>
      </c>
      <c r="BH19" s="47">
        <f t="shared" si="16"/>
        <v>3.2083333333333332E-2</v>
      </c>
      <c r="BI19" s="47">
        <f t="shared" si="17"/>
        <v>0.125</v>
      </c>
      <c r="BJ19" s="47">
        <f t="shared" si="18"/>
        <v>0.02</v>
      </c>
      <c r="BK19" s="47">
        <f t="shared" si="19"/>
        <v>0.25714285714285712</v>
      </c>
      <c r="BL19" s="47">
        <f t="shared" si="20"/>
        <v>6.933333333333333E-2</v>
      </c>
      <c r="BM19" s="47">
        <f t="shared" si="21"/>
        <v>2.8571428571428574E-2</v>
      </c>
      <c r="BN19" s="47">
        <f t="shared" si="22"/>
        <v>0.06</v>
      </c>
      <c r="BO19" s="48">
        <f t="shared" si="23"/>
        <v>68.807142857142864</v>
      </c>
      <c r="BP19" s="48">
        <f t="shared" si="24"/>
        <v>0.308</v>
      </c>
      <c r="BQ19" s="48">
        <f t="shared" si="25"/>
        <v>0.66666666666666674</v>
      </c>
      <c r="BR19" s="48">
        <f t="shared" si="26"/>
        <v>8.8888888888888892E-2</v>
      </c>
      <c r="BS19" s="48">
        <v>2.8139761904761906</v>
      </c>
      <c r="BT19" s="48">
        <v>2.4051078551078553</v>
      </c>
    </row>
    <row r="20" spans="1:72" x14ac:dyDescent="0.3">
      <c r="A20" s="13">
        <v>0</v>
      </c>
      <c r="B20" s="14">
        <v>859</v>
      </c>
      <c r="C20" s="15" t="s">
        <v>113</v>
      </c>
      <c r="D20" s="16" t="s">
        <v>114</v>
      </c>
      <c r="E20" s="268"/>
      <c r="F20" s="17">
        <v>88</v>
      </c>
      <c r="G20" s="18">
        <v>2.8</v>
      </c>
      <c r="H20" s="18">
        <v>0.5</v>
      </c>
      <c r="I20" s="18">
        <v>1.6</v>
      </c>
      <c r="J20" s="18">
        <v>0.2</v>
      </c>
      <c r="K20" s="18">
        <v>0</v>
      </c>
      <c r="L20" s="18">
        <v>0</v>
      </c>
      <c r="M20" s="18">
        <v>15.7</v>
      </c>
      <c r="N20" s="18">
        <v>0.4</v>
      </c>
      <c r="O20" s="18">
        <v>79.7</v>
      </c>
      <c r="P20" s="19">
        <v>24</v>
      </c>
      <c r="Q20" s="19">
        <v>23</v>
      </c>
      <c r="R20" s="18">
        <v>2.1</v>
      </c>
      <c r="S20" s="18">
        <v>1.1000000000000001</v>
      </c>
      <c r="T20" s="18">
        <v>0.01</v>
      </c>
      <c r="U20" s="18">
        <v>0.04</v>
      </c>
      <c r="V20" s="18">
        <v>1.8</v>
      </c>
      <c r="W20" s="18">
        <v>4.7</v>
      </c>
      <c r="X20" s="19">
        <v>174</v>
      </c>
      <c r="Y20" s="18">
        <v>0.16</v>
      </c>
      <c r="Z20" s="18">
        <v>1.7</v>
      </c>
      <c r="AA20" s="18">
        <v>8.3000000000000007</v>
      </c>
      <c r="AB20" s="18">
        <v>1.2</v>
      </c>
      <c r="AC20" s="19">
        <v>140</v>
      </c>
      <c r="AD20" s="19">
        <v>330</v>
      </c>
      <c r="AE20" s="17">
        <v>14</v>
      </c>
      <c r="AF20" s="17">
        <v>180</v>
      </c>
      <c r="AG20" s="17">
        <v>29</v>
      </c>
      <c r="AH20" s="20">
        <v>0.1</v>
      </c>
      <c r="AI20" s="21">
        <v>0.5</v>
      </c>
      <c r="AJ20" s="246"/>
      <c r="AK20" s="22">
        <v>0.12</v>
      </c>
      <c r="AL20" s="23">
        <v>0.24</v>
      </c>
      <c r="AM20" s="49" t="s">
        <v>75</v>
      </c>
      <c r="AN20" s="246"/>
      <c r="AO20" s="25">
        <f t="shared" si="0"/>
        <v>25.2</v>
      </c>
      <c r="AP20" s="27">
        <f t="shared" si="5"/>
        <v>8</v>
      </c>
      <c r="AQ20" s="27">
        <f t="shared" si="6"/>
        <v>2.5</v>
      </c>
      <c r="AR20" s="27">
        <f t="shared" si="31"/>
        <v>0.3125</v>
      </c>
      <c r="AS20" s="27">
        <f t="shared" si="32"/>
        <v>0.4</v>
      </c>
      <c r="AT20" s="26">
        <f t="shared" si="1"/>
        <v>62.8</v>
      </c>
      <c r="AU20" s="28">
        <f t="shared" si="2"/>
        <v>0.71363636363636362</v>
      </c>
      <c r="AV20" s="29">
        <f t="shared" si="3"/>
        <v>0.36</v>
      </c>
      <c r="AW20" s="30">
        <f t="shared" si="27"/>
        <v>1.44</v>
      </c>
      <c r="AX20" s="27">
        <f t="shared" si="30"/>
        <v>0.5</v>
      </c>
      <c r="AY20" s="31">
        <f t="shared" si="7"/>
        <v>2.8750000000000001E-2</v>
      </c>
      <c r="AZ20" s="31">
        <f t="shared" si="8"/>
        <v>0.42000000000000004</v>
      </c>
      <c r="BA20" s="31">
        <f t="shared" si="9"/>
        <v>9.1666666666666674E-2</v>
      </c>
      <c r="BB20" s="31">
        <f t="shared" si="10"/>
        <v>9.0909090909090905E-3</v>
      </c>
      <c r="BC20" s="31">
        <f t="shared" si="11"/>
        <v>2.8571428571428574E-2</v>
      </c>
      <c r="BD20" s="31">
        <f t="shared" si="12"/>
        <v>0.1125</v>
      </c>
      <c r="BE20" s="31">
        <f t="shared" si="13"/>
        <v>0.1142857142857143</v>
      </c>
      <c r="BF20" s="31">
        <f t="shared" si="14"/>
        <v>0.67999999999999994</v>
      </c>
      <c r="BG20" s="31">
        <f t="shared" si="15"/>
        <v>4.1500000000000002E-2</v>
      </c>
      <c r="BH20" s="31">
        <f t="shared" si="16"/>
        <v>5.8333333333333334E-2</v>
      </c>
      <c r="BI20" s="31">
        <f t="shared" si="17"/>
        <v>0.16500000000000001</v>
      </c>
      <c r="BJ20" s="31">
        <f t="shared" si="18"/>
        <v>1.7500000000000002E-2</v>
      </c>
      <c r="BK20" s="31">
        <f t="shared" si="19"/>
        <v>0.25714285714285712</v>
      </c>
      <c r="BL20" s="31">
        <f t="shared" si="20"/>
        <v>7.7333333333333337E-2</v>
      </c>
      <c r="BM20" s="31">
        <f t="shared" si="21"/>
        <v>7.1428571428571435E-3</v>
      </c>
      <c r="BN20" s="31">
        <f t="shared" si="22"/>
        <v>0.05</v>
      </c>
      <c r="BO20" s="32">
        <f t="shared" si="23"/>
        <v>61.805952380952377</v>
      </c>
      <c r="BP20" s="32">
        <f t="shared" si="24"/>
        <v>0.42424242424242425</v>
      </c>
      <c r="BQ20" s="32">
        <f t="shared" si="25"/>
        <v>0.2</v>
      </c>
      <c r="BR20" s="32">
        <f t="shared" si="26"/>
        <v>7.7777777777777779E-2</v>
      </c>
      <c r="BS20" s="32">
        <v>2.8477499999999996</v>
      </c>
      <c r="BT20" s="32">
        <v>3.2360795454545452</v>
      </c>
    </row>
    <row r="21" spans="1:72" x14ac:dyDescent="0.3">
      <c r="A21" s="13">
        <v>0</v>
      </c>
      <c r="B21" s="14">
        <v>966</v>
      </c>
      <c r="C21" s="15" t="s">
        <v>115</v>
      </c>
      <c r="D21" s="16" t="s">
        <v>116</v>
      </c>
      <c r="E21" s="268"/>
      <c r="F21" s="33">
        <v>83</v>
      </c>
      <c r="G21" s="34">
        <v>1.4</v>
      </c>
      <c r="H21" s="34">
        <v>0.2</v>
      </c>
      <c r="I21" s="34">
        <v>0.4</v>
      </c>
      <c r="J21" s="34">
        <v>0.4</v>
      </c>
      <c r="K21" s="34">
        <v>0</v>
      </c>
      <c r="L21" s="34">
        <v>0</v>
      </c>
      <c r="M21" s="34">
        <v>17.600000000000001</v>
      </c>
      <c r="N21" s="34">
        <v>0.3</v>
      </c>
      <c r="O21" s="34">
        <v>80</v>
      </c>
      <c r="P21" s="35">
        <v>19</v>
      </c>
      <c r="Q21" s="35">
        <v>10</v>
      </c>
      <c r="R21" s="34">
        <v>1.4</v>
      </c>
      <c r="S21" s="34">
        <v>0.5</v>
      </c>
      <c r="T21" s="34">
        <v>7.0000000000000007E-2</v>
      </c>
      <c r="U21" s="34">
        <v>0.04</v>
      </c>
      <c r="V21" s="34">
        <v>1.1000000000000001</v>
      </c>
      <c r="W21" s="34">
        <v>4.4000000000000004</v>
      </c>
      <c r="X21" s="35">
        <v>198</v>
      </c>
      <c r="Y21" s="34">
        <v>0.06</v>
      </c>
      <c r="Z21" s="34">
        <v>0.72</v>
      </c>
      <c r="AA21" s="34">
        <v>18</v>
      </c>
      <c r="AB21" s="34">
        <v>1.3</v>
      </c>
      <c r="AC21" s="35">
        <v>100</v>
      </c>
      <c r="AD21" s="35">
        <v>360</v>
      </c>
      <c r="AE21" s="33">
        <v>31</v>
      </c>
      <c r="AF21" s="33">
        <v>190</v>
      </c>
      <c r="AG21" s="33">
        <v>31</v>
      </c>
      <c r="AH21" s="36">
        <v>0.3</v>
      </c>
      <c r="AI21" s="37">
        <v>0.6</v>
      </c>
      <c r="AJ21" s="246"/>
      <c r="AK21" s="38">
        <v>4.2000000000000003E-2</v>
      </c>
      <c r="AL21" s="39">
        <v>8.8999999999999996E-2</v>
      </c>
      <c r="AM21" s="50" t="s">
        <v>72</v>
      </c>
      <c r="AN21" s="246"/>
      <c r="AO21" s="41">
        <f t="shared" si="0"/>
        <v>12.6</v>
      </c>
      <c r="AP21" s="42">
        <f t="shared" si="5"/>
        <v>1</v>
      </c>
      <c r="AQ21" s="42">
        <f t="shared" si="6"/>
        <v>0.5</v>
      </c>
      <c r="AR21" s="42">
        <f t="shared" si="31"/>
        <v>0.5</v>
      </c>
      <c r="AS21" s="42">
        <f t="shared" si="32"/>
        <v>2</v>
      </c>
      <c r="AT21" s="43">
        <f t="shared" si="1"/>
        <v>70.400000000000006</v>
      </c>
      <c r="AU21" s="44">
        <f t="shared" si="2"/>
        <v>0.84819277108433744</v>
      </c>
      <c r="AV21" s="45">
        <f t="shared" si="3"/>
        <v>0.13100000000000001</v>
      </c>
      <c r="AW21" s="46">
        <f t="shared" si="27"/>
        <v>0.52400000000000002</v>
      </c>
      <c r="AX21" s="42">
        <f t="shared" si="30"/>
        <v>0.4719101123595506</v>
      </c>
      <c r="AY21" s="47">
        <f t="shared" si="7"/>
        <v>1.2500000000000001E-2</v>
      </c>
      <c r="AZ21" s="47">
        <f t="shared" si="8"/>
        <v>0.27999999999999997</v>
      </c>
      <c r="BA21" s="47">
        <f t="shared" si="9"/>
        <v>4.1666666666666664E-2</v>
      </c>
      <c r="BB21" s="47">
        <f t="shared" si="10"/>
        <v>6.3636363636363644E-2</v>
      </c>
      <c r="BC21" s="47">
        <f t="shared" si="11"/>
        <v>2.8571428571428574E-2</v>
      </c>
      <c r="BD21" s="47">
        <f t="shared" si="12"/>
        <v>6.8750000000000006E-2</v>
      </c>
      <c r="BE21" s="47">
        <f t="shared" si="13"/>
        <v>4.2857142857142858E-2</v>
      </c>
      <c r="BF21" s="47">
        <f t="shared" si="14"/>
        <v>0.28799999999999998</v>
      </c>
      <c r="BG21" s="47">
        <f t="shared" si="15"/>
        <v>0.09</v>
      </c>
      <c r="BH21" s="47">
        <f t="shared" si="16"/>
        <v>4.1666666666666664E-2</v>
      </c>
      <c r="BI21" s="47">
        <f t="shared" si="17"/>
        <v>0.18</v>
      </c>
      <c r="BJ21" s="47">
        <f t="shared" si="18"/>
        <v>3.875E-2</v>
      </c>
      <c r="BK21" s="47">
        <f t="shared" si="19"/>
        <v>0.27142857142857141</v>
      </c>
      <c r="BL21" s="47">
        <f t="shared" si="20"/>
        <v>8.2666666666666666E-2</v>
      </c>
      <c r="BM21" s="47">
        <f t="shared" si="21"/>
        <v>2.1428571428571429E-2</v>
      </c>
      <c r="BN21" s="47">
        <f t="shared" si="22"/>
        <v>0.06</v>
      </c>
      <c r="BO21" s="48">
        <f t="shared" si="23"/>
        <v>67.734523809523822</v>
      </c>
      <c r="BP21" s="48">
        <f t="shared" si="24"/>
        <v>0.27777777777777779</v>
      </c>
      <c r="BQ21" s="48">
        <f t="shared" si="25"/>
        <v>0.5</v>
      </c>
      <c r="BR21" s="48">
        <f t="shared" si="26"/>
        <v>0.16315789473684211</v>
      </c>
      <c r="BS21" s="48">
        <v>1.4050238095238095</v>
      </c>
      <c r="BT21" s="48">
        <v>1.6927997705106137</v>
      </c>
    </row>
    <row r="22" spans="1:72" x14ac:dyDescent="0.3">
      <c r="A22" s="13">
        <v>0</v>
      </c>
      <c r="B22" s="14">
        <v>862</v>
      </c>
      <c r="C22" s="15" t="s">
        <v>117</v>
      </c>
      <c r="D22" s="16" t="s">
        <v>118</v>
      </c>
      <c r="E22" s="268"/>
      <c r="F22" s="17">
        <v>81</v>
      </c>
      <c r="G22" s="18">
        <v>1.3</v>
      </c>
      <c r="H22" s="18">
        <v>0.2</v>
      </c>
      <c r="I22" s="18">
        <v>0.4</v>
      </c>
      <c r="J22" s="18">
        <v>0.4</v>
      </c>
      <c r="K22" s="18">
        <v>0</v>
      </c>
      <c r="L22" s="18">
        <v>0</v>
      </c>
      <c r="M22" s="18">
        <v>17.2</v>
      </c>
      <c r="N22" s="18">
        <v>0.3</v>
      </c>
      <c r="O22" s="18">
        <v>81</v>
      </c>
      <c r="P22" s="19">
        <v>19</v>
      </c>
      <c r="Q22" s="19">
        <v>7</v>
      </c>
      <c r="R22" s="18">
        <v>1.1000000000000001</v>
      </c>
      <c r="S22" s="18">
        <v>0.4</v>
      </c>
      <c r="T22" s="18">
        <v>0.05</v>
      </c>
      <c r="U22" s="18">
        <v>0.04</v>
      </c>
      <c r="V22" s="18">
        <v>0.86</v>
      </c>
      <c r="W22" s="18">
        <v>4.0999999999999996</v>
      </c>
      <c r="X22" s="19">
        <v>192</v>
      </c>
      <c r="Y22" s="18">
        <v>0.04</v>
      </c>
      <c r="Z22" s="18">
        <v>0.6</v>
      </c>
      <c r="AA22" s="18">
        <v>13</v>
      </c>
      <c r="AB22" s="18">
        <v>1.3</v>
      </c>
      <c r="AC22" s="19">
        <v>120</v>
      </c>
      <c r="AD22" s="19">
        <v>330</v>
      </c>
      <c r="AE22" s="17">
        <v>20</v>
      </c>
      <c r="AF22" s="17">
        <v>180</v>
      </c>
      <c r="AG22" s="17">
        <v>37</v>
      </c>
      <c r="AH22" s="20">
        <v>0.3</v>
      </c>
      <c r="AI22" s="21">
        <v>0.6</v>
      </c>
      <c r="AJ22" s="246"/>
      <c r="AK22" s="22">
        <v>4.2000000000000003E-2</v>
      </c>
      <c r="AL22" s="23">
        <v>8.8999999999999996E-2</v>
      </c>
      <c r="AM22" s="24" t="s">
        <v>72</v>
      </c>
      <c r="AN22" s="246"/>
      <c r="AO22" s="25">
        <f t="shared" si="0"/>
        <v>11.700000000000001</v>
      </c>
      <c r="AP22" s="27">
        <f t="shared" si="5"/>
        <v>1</v>
      </c>
      <c r="AQ22" s="27">
        <f t="shared" si="6"/>
        <v>0.5</v>
      </c>
      <c r="AR22" s="27">
        <f>H22/I22</f>
        <v>0.5</v>
      </c>
      <c r="AS22" s="27">
        <f>J22/H22</f>
        <v>2</v>
      </c>
      <c r="AT22" s="26">
        <f t="shared" si="1"/>
        <v>68.8</v>
      </c>
      <c r="AU22" s="28">
        <f t="shared" si="2"/>
        <v>0.85465838509316772</v>
      </c>
      <c r="AV22" s="29">
        <f t="shared" si="3"/>
        <v>0.13100000000000001</v>
      </c>
      <c r="AW22" s="30">
        <f t="shared" si="27"/>
        <v>0.52400000000000002</v>
      </c>
      <c r="AX22" s="27">
        <f t="shared" si="30"/>
        <v>0.4719101123595506</v>
      </c>
      <c r="AY22" s="31">
        <f t="shared" si="7"/>
        <v>8.7500000000000008E-3</v>
      </c>
      <c r="AZ22" s="31">
        <f t="shared" si="8"/>
        <v>0.22000000000000003</v>
      </c>
      <c r="BA22" s="31">
        <f t="shared" si="9"/>
        <v>3.3333333333333333E-2</v>
      </c>
      <c r="BB22" s="31">
        <f t="shared" si="10"/>
        <v>4.5454545454545456E-2</v>
      </c>
      <c r="BC22" s="31">
        <f t="shared" si="11"/>
        <v>2.8571428571428574E-2</v>
      </c>
      <c r="BD22" s="31">
        <f t="shared" si="12"/>
        <v>5.3749999999999999E-2</v>
      </c>
      <c r="BE22" s="31">
        <f t="shared" si="13"/>
        <v>2.8571428571428574E-2</v>
      </c>
      <c r="BF22" s="31">
        <f t="shared" si="14"/>
        <v>0.24</v>
      </c>
      <c r="BG22" s="31">
        <f t="shared" si="15"/>
        <v>6.5000000000000002E-2</v>
      </c>
      <c r="BH22" s="31">
        <f t="shared" si="16"/>
        <v>0.05</v>
      </c>
      <c r="BI22" s="31">
        <f t="shared" si="17"/>
        <v>0.16500000000000001</v>
      </c>
      <c r="BJ22" s="31">
        <f t="shared" si="18"/>
        <v>2.5000000000000001E-2</v>
      </c>
      <c r="BK22" s="31">
        <f t="shared" si="19"/>
        <v>0.25714285714285712</v>
      </c>
      <c r="BL22" s="31">
        <f t="shared" si="20"/>
        <v>9.8666666666666666E-2</v>
      </c>
      <c r="BM22" s="31">
        <f t="shared" si="21"/>
        <v>2.1428571428571429E-2</v>
      </c>
      <c r="BN22" s="31">
        <f t="shared" si="22"/>
        <v>0.06</v>
      </c>
      <c r="BO22" s="32">
        <f t="shared" si="23"/>
        <v>63.61785714285714</v>
      </c>
      <c r="BP22" s="32">
        <f t="shared" si="24"/>
        <v>0.36363636363636365</v>
      </c>
      <c r="BQ22" s="32">
        <f t="shared" si="25"/>
        <v>0.5</v>
      </c>
      <c r="BR22" s="32">
        <f t="shared" si="26"/>
        <v>0.1111111111111111</v>
      </c>
      <c r="BS22" s="32">
        <v>1.271654761904762</v>
      </c>
      <c r="BT22" s="32">
        <v>1.5699441504997063</v>
      </c>
    </row>
    <row r="23" spans="1:72" x14ac:dyDescent="0.3">
      <c r="A23" s="13">
        <v>0</v>
      </c>
      <c r="B23" s="14">
        <v>865</v>
      </c>
      <c r="C23" s="15" t="s">
        <v>119</v>
      </c>
      <c r="D23" s="16" t="s">
        <v>120</v>
      </c>
      <c r="E23" s="268"/>
      <c r="F23" s="33">
        <v>86</v>
      </c>
      <c r="G23" s="34">
        <v>1.5</v>
      </c>
      <c r="H23" s="34">
        <v>0.3</v>
      </c>
      <c r="I23" s="34">
        <v>0.4</v>
      </c>
      <c r="J23" s="34">
        <v>0.4</v>
      </c>
      <c r="K23" s="34">
        <v>0</v>
      </c>
      <c r="L23" s="34">
        <v>0</v>
      </c>
      <c r="M23" s="34">
        <v>18</v>
      </c>
      <c r="N23" s="34">
        <v>0.2</v>
      </c>
      <c r="O23" s="34">
        <v>78.7</v>
      </c>
      <c r="P23" s="35">
        <v>19</v>
      </c>
      <c r="Q23" s="35">
        <v>5</v>
      </c>
      <c r="R23" s="34">
        <v>1.3</v>
      </c>
      <c r="S23" s="34">
        <v>0.69</v>
      </c>
      <c r="T23" s="34">
        <v>0.1</v>
      </c>
      <c r="U23" s="34">
        <v>0.05</v>
      </c>
      <c r="V23" s="34">
        <v>1.3</v>
      </c>
      <c r="W23" s="34">
        <v>4.7</v>
      </c>
      <c r="X23" s="35">
        <v>204</v>
      </c>
      <c r="Y23" s="34">
        <v>0.09</v>
      </c>
      <c r="Z23" s="34">
        <v>0.84</v>
      </c>
      <c r="AA23" s="34">
        <v>22</v>
      </c>
      <c r="AB23" s="34">
        <v>1.3</v>
      </c>
      <c r="AC23" s="35">
        <v>85</v>
      </c>
      <c r="AD23" s="35">
        <v>380</v>
      </c>
      <c r="AE23" s="33">
        <v>43</v>
      </c>
      <c r="AF23" s="33">
        <v>200</v>
      </c>
      <c r="AG23" s="33">
        <v>26</v>
      </c>
      <c r="AH23" s="36">
        <v>0.3</v>
      </c>
      <c r="AI23" s="37">
        <v>0.5</v>
      </c>
      <c r="AJ23" s="246"/>
      <c r="AK23" s="38">
        <v>4.2000000000000003E-2</v>
      </c>
      <c r="AL23" s="39">
        <v>8.8999999999999996E-2</v>
      </c>
      <c r="AM23" s="50" t="s">
        <v>72</v>
      </c>
      <c r="AN23" s="246"/>
      <c r="AO23" s="41">
        <f t="shared" si="0"/>
        <v>13.5</v>
      </c>
      <c r="AP23" s="42">
        <f t="shared" si="5"/>
        <v>1</v>
      </c>
      <c r="AQ23" s="42">
        <f t="shared" si="6"/>
        <v>0.74999999999999989</v>
      </c>
      <c r="AR23" s="42">
        <f>H23/I23</f>
        <v>0.74999999999999989</v>
      </c>
      <c r="AS23" s="42">
        <f>J23/H23</f>
        <v>1.3333333333333335</v>
      </c>
      <c r="AT23" s="43">
        <f t="shared" si="1"/>
        <v>72</v>
      </c>
      <c r="AU23" s="44">
        <f t="shared" si="2"/>
        <v>0.84210526315789469</v>
      </c>
      <c r="AV23" s="45">
        <f t="shared" si="3"/>
        <v>0.13100000000000001</v>
      </c>
      <c r="AW23" s="46">
        <f t="shared" si="27"/>
        <v>0.52400000000000002</v>
      </c>
      <c r="AX23" s="42">
        <f t="shared" si="30"/>
        <v>0.4719101123595506</v>
      </c>
      <c r="AY23" s="47">
        <f t="shared" si="7"/>
        <v>6.2500000000000003E-3</v>
      </c>
      <c r="AZ23" s="47">
        <f t="shared" si="8"/>
        <v>0.26</v>
      </c>
      <c r="BA23" s="47">
        <f t="shared" si="9"/>
        <v>5.7499999999999996E-2</v>
      </c>
      <c r="BB23" s="47">
        <f t="shared" si="10"/>
        <v>9.0909090909090912E-2</v>
      </c>
      <c r="BC23" s="47">
        <f t="shared" si="11"/>
        <v>3.5714285714285719E-2</v>
      </c>
      <c r="BD23" s="47">
        <f t="shared" si="12"/>
        <v>8.1250000000000003E-2</v>
      </c>
      <c r="BE23" s="47">
        <f t="shared" si="13"/>
        <v>6.4285714285714293E-2</v>
      </c>
      <c r="BF23" s="47">
        <f t="shared" si="14"/>
        <v>0.33599999999999997</v>
      </c>
      <c r="BG23" s="47">
        <f t="shared" si="15"/>
        <v>0.11</v>
      </c>
      <c r="BH23" s="47">
        <f t="shared" si="16"/>
        <v>3.5416666666666666E-2</v>
      </c>
      <c r="BI23" s="47">
        <f t="shared" si="17"/>
        <v>0.19</v>
      </c>
      <c r="BJ23" s="47">
        <f t="shared" si="18"/>
        <v>5.3749999999999999E-2</v>
      </c>
      <c r="BK23" s="47">
        <f t="shared" si="19"/>
        <v>0.2857142857142857</v>
      </c>
      <c r="BL23" s="47">
        <f t="shared" si="20"/>
        <v>6.933333333333333E-2</v>
      </c>
      <c r="BM23" s="47">
        <f t="shared" si="21"/>
        <v>2.1428571428571429E-2</v>
      </c>
      <c r="BN23" s="47">
        <f t="shared" si="22"/>
        <v>0.05</v>
      </c>
      <c r="BO23" s="48">
        <f t="shared" si="23"/>
        <v>70.784523809523819</v>
      </c>
      <c r="BP23" s="48">
        <f t="shared" si="24"/>
        <v>0.22368421052631579</v>
      </c>
      <c r="BQ23" s="48">
        <f t="shared" si="25"/>
        <v>0.6</v>
      </c>
      <c r="BR23" s="48">
        <f t="shared" si="26"/>
        <v>0.215</v>
      </c>
      <c r="BS23" s="48">
        <v>1.4432619047619044</v>
      </c>
      <c r="BT23" s="48">
        <v>1.6782115171650052</v>
      </c>
    </row>
    <row r="24" spans="1:72" x14ac:dyDescent="0.3">
      <c r="A24" s="13">
        <v>0</v>
      </c>
      <c r="B24" s="14">
        <v>868</v>
      </c>
      <c r="C24" s="15" t="s">
        <v>121</v>
      </c>
      <c r="D24" s="16" t="s">
        <v>122</v>
      </c>
      <c r="E24" s="268"/>
      <c r="F24" s="17">
        <v>75</v>
      </c>
      <c r="G24" s="18">
        <v>0.8</v>
      </c>
      <c r="H24" s="18">
        <v>0.1</v>
      </c>
      <c r="I24" s="18">
        <v>0.1</v>
      </c>
      <c r="J24" s="18">
        <v>0.3</v>
      </c>
      <c r="K24" s="18">
        <v>0.1</v>
      </c>
      <c r="L24" s="18">
        <v>0</v>
      </c>
      <c r="M24" s="18">
        <v>17</v>
      </c>
      <c r="N24" s="18">
        <v>0.2</v>
      </c>
      <c r="O24" s="18">
        <v>81.099999999999994</v>
      </c>
      <c r="P24" s="19">
        <v>19</v>
      </c>
      <c r="Q24" s="19">
        <v>3</v>
      </c>
      <c r="R24" s="18">
        <v>5.6</v>
      </c>
      <c r="S24" s="18">
        <v>0.24</v>
      </c>
      <c r="T24" s="18">
        <v>0.02</v>
      </c>
      <c r="U24" s="18">
        <v>0.04</v>
      </c>
      <c r="V24" s="18">
        <v>1.2</v>
      </c>
      <c r="W24" s="18">
        <v>4.4000000000000004</v>
      </c>
      <c r="X24" s="19">
        <v>192</v>
      </c>
      <c r="Y24" s="18">
        <v>0.04</v>
      </c>
      <c r="Z24" s="18">
        <v>0.63</v>
      </c>
      <c r="AA24" s="18">
        <v>27</v>
      </c>
      <c r="AB24" s="18">
        <v>1.1000000000000001</v>
      </c>
      <c r="AC24" s="19">
        <v>69</v>
      </c>
      <c r="AD24" s="19">
        <v>410</v>
      </c>
      <c r="AE24" s="17">
        <v>15</v>
      </c>
      <c r="AF24" s="17">
        <v>220</v>
      </c>
      <c r="AG24" s="17">
        <v>26</v>
      </c>
      <c r="AH24" s="20">
        <v>0.5</v>
      </c>
      <c r="AI24" s="21">
        <v>0.7</v>
      </c>
      <c r="AJ24" s="246"/>
      <c r="AK24" s="22">
        <v>4.2000000000000003E-2</v>
      </c>
      <c r="AL24" s="23">
        <v>8.8999999999999996E-2</v>
      </c>
      <c r="AM24" s="24" t="s">
        <v>72</v>
      </c>
      <c r="AN24" s="246"/>
      <c r="AO24" s="25">
        <f t="shared" si="0"/>
        <v>7.2</v>
      </c>
      <c r="AP24" s="27">
        <f t="shared" si="5"/>
        <v>0.33333333333333337</v>
      </c>
      <c r="AQ24" s="27">
        <f t="shared" si="6"/>
        <v>0.33333333333333337</v>
      </c>
      <c r="AR24" s="27">
        <f>H24/I24</f>
        <v>1</v>
      </c>
      <c r="AS24" s="27">
        <f>J24/H24</f>
        <v>2.9999999999999996</v>
      </c>
      <c r="AT24" s="26">
        <f t="shared" si="1"/>
        <v>68</v>
      </c>
      <c r="AU24" s="28">
        <f t="shared" si="2"/>
        <v>0.90425531914893609</v>
      </c>
      <c r="AV24" s="29">
        <f t="shared" si="3"/>
        <v>0.13100000000000001</v>
      </c>
      <c r="AW24" s="30">
        <f t="shared" si="27"/>
        <v>0.52400000000000002</v>
      </c>
      <c r="AX24" s="27">
        <f t="shared" si="30"/>
        <v>0.4719101123595506</v>
      </c>
      <c r="AY24" s="31">
        <f t="shared" si="7"/>
        <v>3.7499999999999999E-3</v>
      </c>
      <c r="AZ24" s="31">
        <f t="shared" si="8"/>
        <v>1.1199999999999999</v>
      </c>
      <c r="BA24" s="31">
        <f t="shared" si="9"/>
        <v>0.02</v>
      </c>
      <c r="BB24" s="31">
        <f t="shared" si="10"/>
        <v>1.8181818181818181E-2</v>
      </c>
      <c r="BC24" s="31">
        <f t="shared" si="11"/>
        <v>2.8571428571428574E-2</v>
      </c>
      <c r="BD24" s="31">
        <f t="shared" si="12"/>
        <v>7.4999999999999997E-2</v>
      </c>
      <c r="BE24" s="31">
        <f t="shared" si="13"/>
        <v>2.8571428571428574E-2</v>
      </c>
      <c r="BF24" s="31">
        <f t="shared" si="14"/>
        <v>0.252</v>
      </c>
      <c r="BG24" s="31">
        <f t="shared" si="15"/>
        <v>0.13500000000000001</v>
      </c>
      <c r="BH24" s="31">
        <f t="shared" si="16"/>
        <v>2.8750000000000001E-2</v>
      </c>
      <c r="BI24" s="31">
        <f t="shared" si="17"/>
        <v>0.20499999999999999</v>
      </c>
      <c r="BJ24" s="31">
        <f t="shared" si="18"/>
        <v>1.8749999999999999E-2</v>
      </c>
      <c r="BK24" s="31">
        <f t="shared" si="19"/>
        <v>0.31428571428571428</v>
      </c>
      <c r="BL24" s="31">
        <f t="shared" si="20"/>
        <v>6.933333333333333E-2</v>
      </c>
      <c r="BM24" s="31">
        <f t="shared" si="21"/>
        <v>3.5714285714285712E-2</v>
      </c>
      <c r="BN24" s="31">
        <f t="shared" si="22"/>
        <v>6.9999999999999993E-2</v>
      </c>
      <c r="BO24" s="32">
        <f t="shared" si="23"/>
        <v>65.879761904761907</v>
      </c>
      <c r="BP24" s="32">
        <f t="shared" si="24"/>
        <v>0.16829268292682928</v>
      </c>
      <c r="BQ24" s="32">
        <f t="shared" si="25"/>
        <v>0.7142857142857143</v>
      </c>
      <c r="BR24" s="32">
        <f t="shared" si="26"/>
        <v>6.8181818181818177E-2</v>
      </c>
      <c r="BS24" s="32">
        <v>2.2398571428571419</v>
      </c>
      <c r="BT24" s="32">
        <v>2.9864761904761892</v>
      </c>
    </row>
    <row r="25" spans="1:72" x14ac:dyDescent="0.3">
      <c r="A25" s="13">
        <v>0</v>
      </c>
      <c r="B25" s="14">
        <v>870</v>
      </c>
      <c r="C25" s="15" t="s">
        <v>123</v>
      </c>
      <c r="D25" s="16" t="s">
        <v>124</v>
      </c>
      <c r="E25" s="268"/>
      <c r="F25" s="33">
        <v>58</v>
      </c>
      <c r="G25" s="34">
        <v>0.2</v>
      </c>
      <c r="H25" s="34">
        <v>0</v>
      </c>
      <c r="I25" s="34">
        <v>0</v>
      </c>
      <c r="J25" s="34">
        <v>0.1</v>
      </c>
      <c r="K25" s="34">
        <v>0</v>
      </c>
      <c r="L25" s="34">
        <v>0</v>
      </c>
      <c r="M25" s="34">
        <v>14.1</v>
      </c>
      <c r="N25" s="34">
        <v>0.6</v>
      </c>
      <c r="O25" s="34">
        <v>77.599999999999994</v>
      </c>
      <c r="P25" s="35">
        <v>39</v>
      </c>
      <c r="Q25" s="35">
        <v>2</v>
      </c>
      <c r="R25" s="34">
        <v>0.4</v>
      </c>
      <c r="S25" s="34">
        <v>0.24</v>
      </c>
      <c r="T25" s="34">
        <v>0.03</v>
      </c>
      <c r="U25" s="34">
        <v>0.03</v>
      </c>
      <c r="V25" s="34">
        <v>1.7</v>
      </c>
      <c r="W25" s="34">
        <v>4.3</v>
      </c>
      <c r="X25" s="35">
        <v>156</v>
      </c>
      <c r="Y25" s="34">
        <v>0.19</v>
      </c>
      <c r="Z25" s="34">
        <v>0.47</v>
      </c>
      <c r="AA25" s="34">
        <v>12</v>
      </c>
      <c r="AB25" s="34">
        <v>1.9</v>
      </c>
      <c r="AC25" s="35">
        <v>220</v>
      </c>
      <c r="AD25" s="35">
        <v>260</v>
      </c>
      <c r="AE25" s="33">
        <v>160</v>
      </c>
      <c r="AF25" s="33">
        <v>320</v>
      </c>
      <c r="AG25" s="33">
        <v>28</v>
      </c>
      <c r="AH25" s="36">
        <v>0.3</v>
      </c>
      <c r="AI25" s="37">
        <v>0.8</v>
      </c>
      <c r="AJ25" s="246"/>
      <c r="AK25" s="38">
        <v>0</v>
      </c>
      <c r="AL25" s="39">
        <v>0</v>
      </c>
      <c r="AM25" s="40" t="s">
        <v>81</v>
      </c>
      <c r="AN25" s="246"/>
      <c r="AO25" s="41">
        <f t="shared" si="0"/>
        <v>1.8</v>
      </c>
      <c r="AP25" s="42">
        <f t="shared" si="5"/>
        <v>0</v>
      </c>
      <c r="AQ25" s="42">
        <f t="shared" si="6"/>
        <v>0</v>
      </c>
      <c r="AR25" s="42">
        <v>0</v>
      </c>
      <c r="AS25" s="42">
        <v>0</v>
      </c>
      <c r="AT25" s="43">
        <f t="shared" si="1"/>
        <v>56.4</v>
      </c>
      <c r="AU25" s="44">
        <f t="shared" si="2"/>
        <v>0.96907216494845361</v>
      </c>
      <c r="AV25" s="45">
        <f t="shared" si="3"/>
        <v>0</v>
      </c>
      <c r="AW25" s="46">
        <f t="shared" si="27"/>
        <v>0</v>
      </c>
      <c r="AX25" s="42">
        <v>0</v>
      </c>
      <c r="AY25" s="47">
        <f t="shared" si="7"/>
        <v>2.5000000000000001E-3</v>
      </c>
      <c r="AZ25" s="47">
        <f t="shared" si="8"/>
        <v>0.08</v>
      </c>
      <c r="BA25" s="47">
        <f t="shared" si="9"/>
        <v>0.02</v>
      </c>
      <c r="BB25" s="47">
        <f t="shared" si="10"/>
        <v>2.7272727272727268E-2</v>
      </c>
      <c r="BC25" s="47">
        <f t="shared" si="11"/>
        <v>2.1428571428571429E-2</v>
      </c>
      <c r="BD25" s="47">
        <f t="shared" si="12"/>
        <v>0.10625</v>
      </c>
      <c r="BE25" s="47">
        <f t="shared" si="13"/>
        <v>0.13571428571428573</v>
      </c>
      <c r="BF25" s="47">
        <f t="shared" si="14"/>
        <v>0.188</v>
      </c>
      <c r="BG25" s="47">
        <f t="shared" si="15"/>
        <v>0.06</v>
      </c>
      <c r="BH25" s="47">
        <f t="shared" si="16"/>
        <v>9.166666666666666E-2</v>
      </c>
      <c r="BI25" s="47">
        <f t="shared" si="17"/>
        <v>0.13</v>
      </c>
      <c r="BJ25" s="47">
        <f t="shared" si="18"/>
        <v>0.2</v>
      </c>
      <c r="BK25" s="47">
        <f t="shared" si="19"/>
        <v>0.45714285714285713</v>
      </c>
      <c r="BL25" s="47">
        <f t="shared" si="20"/>
        <v>7.4666666666666673E-2</v>
      </c>
      <c r="BM25" s="47">
        <f t="shared" si="21"/>
        <v>2.1428571428571429E-2</v>
      </c>
      <c r="BN25" s="47">
        <f t="shared" si="22"/>
        <v>0.08</v>
      </c>
      <c r="BO25" s="48">
        <f t="shared" si="23"/>
        <v>63.892857142857139</v>
      </c>
      <c r="BP25" s="48">
        <f t="shared" si="24"/>
        <v>0.84615384615384615</v>
      </c>
      <c r="BQ25" s="48">
        <f t="shared" si="25"/>
        <v>0.37499999999999994</v>
      </c>
      <c r="BR25" s="48">
        <f t="shared" si="26"/>
        <v>0.5</v>
      </c>
      <c r="BS25" s="48">
        <v>0.51207142857142851</v>
      </c>
      <c r="BT25" s="48">
        <v>0.88288177339901464</v>
      </c>
    </row>
    <row r="26" spans="1:72" x14ac:dyDescent="0.3">
      <c r="A26" s="13">
        <v>0</v>
      </c>
      <c r="B26" s="14">
        <v>871</v>
      </c>
      <c r="C26" s="15" t="s">
        <v>125</v>
      </c>
      <c r="D26" s="16" t="s">
        <v>126</v>
      </c>
      <c r="E26" s="268"/>
      <c r="F26" s="17">
        <v>106</v>
      </c>
      <c r="G26" s="18">
        <v>3.5</v>
      </c>
      <c r="H26" s="18">
        <v>0.8</v>
      </c>
      <c r="I26" s="18">
        <v>0.9</v>
      </c>
      <c r="J26" s="18">
        <v>0.8</v>
      </c>
      <c r="K26" s="18">
        <v>0.18</v>
      </c>
      <c r="L26" s="18">
        <v>0</v>
      </c>
      <c r="M26" s="18">
        <v>18.5</v>
      </c>
      <c r="N26" s="18">
        <v>0.2</v>
      </c>
      <c r="O26" s="18">
        <v>71.8</v>
      </c>
      <c r="P26" s="19">
        <v>52</v>
      </c>
      <c r="Q26" s="19">
        <v>36</v>
      </c>
      <c r="R26" s="18">
        <v>5</v>
      </c>
      <c r="S26" s="18">
        <v>0.17</v>
      </c>
      <c r="T26" s="18">
        <v>0.26</v>
      </c>
      <c r="U26" s="18">
        <v>0.08</v>
      </c>
      <c r="V26" s="18">
        <v>2.7</v>
      </c>
      <c r="W26" s="18">
        <v>6.2</v>
      </c>
      <c r="X26" s="19">
        <v>210</v>
      </c>
      <c r="Y26" s="18">
        <v>0.49</v>
      </c>
      <c r="Z26" s="18">
        <v>1.3</v>
      </c>
      <c r="AA26" s="18">
        <v>9.5</v>
      </c>
      <c r="AB26" s="18">
        <v>1.7</v>
      </c>
      <c r="AC26" s="19">
        <v>95</v>
      </c>
      <c r="AD26" s="19">
        <v>350</v>
      </c>
      <c r="AE26" s="17">
        <v>52</v>
      </c>
      <c r="AF26" s="17">
        <v>230</v>
      </c>
      <c r="AG26" s="17">
        <v>38</v>
      </c>
      <c r="AH26" s="20">
        <v>0.4</v>
      </c>
      <c r="AI26" s="21">
        <v>1.2</v>
      </c>
      <c r="AJ26" s="246"/>
      <c r="AK26" s="22">
        <v>0.3</v>
      </c>
      <c r="AL26" s="23">
        <v>0.5</v>
      </c>
      <c r="AM26" s="49" t="s">
        <v>78</v>
      </c>
      <c r="AN26" s="246"/>
      <c r="AO26" s="25">
        <f t="shared" si="0"/>
        <v>31.5</v>
      </c>
      <c r="AP26" s="27">
        <f t="shared" si="5"/>
        <v>1.125</v>
      </c>
      <c r="AQ26" s="27">
        <f t="shared" si="6"/>
        <v>1</v>
      </c>
      <c r="AR26" s="27">
        <f>H26/I26</f>
        <v>0.88888888888888895</v>
      </c>
      <c r="AS26" s="27">
        <f>J26/H26</f>
        <v>1</v>
      </c>
      <c r="AT26" s="26">
        <f t="shared" si="1"/>
        <v>74</v>
      </c>
      <c r="AU26" s="28">
        <f t="shared" si="2"/>
        <v>0.70142180094786732</v>
      </c>
      <c r="AV26" s="29">
        <f t="shared" si="3"/>
        <v>0.8</v>
      </c>
      <c r="AW26" s="30">
        <f t="shared" si="27"/>
        <v>3.2</v>
      </c>
      <c r="AX26" s="27">
        <f>AK26/AL26</f>
        <v>0.6</v>
      </c>
      <c r="AY26" s="31">
        <f t="shared" si="7"/>
        <v>4.4999999999999998E-2</v>
      </c>
      <c r="AZ26" s="31">
        <f t="shared" si="8"/>
        <v>1</v>
      </c>
      <c r="BA26" s="31">
        <f t="shared" si="9"/>
        <v>1.4166666666666668E-2</v>
      </c>
      <c r="BB26" s="31">
        <f t="shared" si="10"/>
        <v>0.23636363636363636</v>
      </c>
      <c r="BC26" s="31">
        <f t="shared" si="11"/>
        <v>5.7142857142857148E-2</v>
      </c>
      <c r="BD26" s="31">
        <f t="shared" si="12"/>
        <v>0.16875000000000001</v>
      </c>
      <c r="BE26" s="31">
        <f t="shared" si="13"/>
        <v>0.35000000000000003</v>
      </c>
      <c r="BF26" s="31">
        <f t="shared" si="14"/>
        <v>0.52</v>
      </c>
      <c r="BG26" s="31">
        <f t="shared" si="15"/>
        <v>4.7500000000000001E-2</v>
      </c>
      <c r="BH26" s="31">
        <f>AC26/2400</f>
        <v>3.9583333333333331E-2</v>
      </c>
      <c r="BI26" s="31">
        <f t="shared" si="17"/>
        <v>0.17499999999999999</v>
      </c>
      <c r="BJ26" s="31">
        <f t="shared" si="18"/>
        <v>6.5000000000000002E-2</v>
      </c>
      <c r="BK26" s="31">
        <f t="shared" si="19"/>
        <v>0.32857142857142857</v>
      </c>
      <c r="BL26" s="31">
        <f t="shared" si="20"/>
        <v>0.10133333333333333</v>
      </c>
      <c r="BM26" s="31">
        <f t="shared" si="21"/>
        <v>2.8571428571428574E-2</v>
      </c>
      <c r="BN26" s="31">
        <f t="shared" si="22"/>
        <v>0.12</v>
      </c>
      <c r="BO26" s="32">
        <f t="shared" si="23"/>
        <v>71.94880952380953</v>
      </c>
      <c r="BP26" s="32">
        <f t="shared" si="24"/>
        <v>0.27142857142857141</v>
      </c>
      <c r="BQ26" s="32">
        <f t="shared" si="25"/>
        <v>0.33333333333333337</v>
      </c>
      <c r="BR26" s="32">
        <f t="shared" si="26"/>
        <v>0.22608695652173913</v>
      </c>
      <c r="BS26" s="32">
        <v>5.3441309523809526</v>
      </c>
      <c r="BT26" s="32">
        <v>5.0416329739442949</v>
      </c>
    </row>
    <row r="27" spans="1:72" x14ac:dyDescent="0.3">
      <c r="A27" s="13">
        <v>0</v>
      </c>
      <c r="B27" s="14">
        <v>875</v>
      </c>
      <c r="C27" s="15" t="s">
        <v>127</v>
      </c>
      <c r="D27" s="16" t="s">
        <v>128</v>
      </c>
      <c r="E27" s="268"/>
      <c r="F27" s="33">
        <v>109</v>
      </c>
      <c r="G27" s="34">
        <v>4.2</v>
      </c>
      <c r="H27" s="34">
        <v>1.2</v>
      </c>
      <c r="I27" s="34">
        <v>2.1</v>
      </c>
      <c r="J27" s="34">
        <v>0.8</v>
      </c>
      <c r="K27" s="34">
        <v>0</v>
      </c>
      <c r="L27" s="34">
        <v>0</v>
      </c>
      <c r="M27" s="34">
        <v>17.7</v>
      </c>
      <c r="N27" s="34">
        <v>0.2</v>
      </c>
      <c r="O27" s="34">
        <v>76.400000000000006</v>
      </c>
      <c r="P27" s="35">
        <v>49</v>
      </c>
      <c r="Q27" s="35">
        <v>267</v>
      </c>
      <c r="R27" s="34">
        <v>91</v>
      </c>
      <c r="S27" s="34">
        <v>1.5</v>
      </c>
      <c r="T27" s="34">
        <v>0.04</v>
      </c>
      <c r="U27" s="34">
        <v>0.05</v>
      </c>
      <c r="V27" s="34">
        <v>1.5</v>
      </c>
      <c r="W27" s="34">
        <v>4.8</v>
      </c>
      <c r="X27" s="35">
        <v>198</v>
      </c>
      <c r="Y27" s="34">
        <v>0.55000000000000004</v>
      </c>
      <c r="Z27" s="34">
        <v>0.3</v>
      </c>
      <c r="AA27" s="34">
        <v>13</v>
      </c>
      <c r="AB27" s="34">
        <v>1</v>
      </c>
      <c r="AC27" s="35">
        <v>84</v>
      </c>
      <c r="AD27" s="35">
        <v>340</v>
      </c>
      <c r="AE27" s="33">
        <v>130</v>
      </c>
      <c r="AF27" s="33">
        <v>220</v>
      </c>
      <c r="AG27" s="33">
        <v>28</v>
      </c>
      <c r="AH27" s="36">
        <v>0.2</v>
      </c>
      <c r="AI27" s="37">
        <v>1.1000000000000001</v>
      </c>
      <c r="AJ27" s="246"/>
      <c r="AK27" s="38">
        <v>0.4</v>
      </c>
      <c r="AL27" s="39">
        <v>0.6</v>
      </c>
      <c r="AM27" s="40" t="s">
        <v>81</v>
      </c>
      <c r="AN27" s="246"/>
      <c r="AO27" s="41">
        <f t="shared" si="0"/>
        <v>37.800000000000004</v>
      </c>
      <c r="AP27" s="42">
        <f t="shared" si="5"/>
        <v>2.625</v>
      </c>
      <c r="AQ27" s="42">
        <f t="shared" si="6"/>
        <v>1.4999999999999998</v>
      </c>
      <c r="AR27" s="42">
        <f>H27/I27</f>
        <v>0.5714285714285714</v>
      </c>
      <c r="AS27" s="42">
        <f>J27/H27</f>
        <v>0.66666666666666674</v>
      </c>
      <c r="AT27" s="43">
        <f t="shared" si="1"/>
        <v>70.8</v>
      </c>
      <c r="AU27" s="44">
        <f t="shared" si="2"/>
        <v>0.65193370165745856</v>
      </c>
      <c r="AV27" s="45">
        <f t="shared" si="3"/>
        <v>1</v>
      </c>
      <c r="AW27" s="46">
        <f t="shared" si="27"/>
        <v>4</v>
      </c>
      <c r="AX27" s="42">
        <f>AK27/AL27</f>
        <v>0.66666666666666674</v>
      </c>
      <c r="AY27" s="47">
        <f t="shared" si="7"/>
        <v>0.33374999999999999</v>
      </c>
      <c r="AZ27" s="47">
        <f t="shared" si="8"/>
        <v>18.2</v>
      </c>
      <c r="BA27" s="47">
        <f t="shared" si="9"/>
        <v>0.125</v>
      </c>
      <c r="BB27" s="47">
        <f t="shared" si="10"/>
        <v>3.6363636363636362E-2</v>
      </c>
      <c r="BC27" s="47">
        <f t="shared" si="11"/>
        <v>3.5714285714285719E-2</v>
      </c>
      <c r="BD27" s="47">
        <f t="shared" si="12"/>
        <v>9.375E-2</v>
      </c>
      <c r="BE27" s="47">
        <f t="shared" si="13"/>
        <v>0.3928571428571429</v>
      </c>
      <c r="BF27" s="47">
        <f t="shared" si="14"/>
        <v>0.12</v>
      </c>
      <c r="BG27" s="47">
        <f t="shared" si="15"/>
        <v>6.5000000000000002E-2</v>
      </c>
      <c r="BH27" s="47">
        <f t="shared" si="16"/>
        <v>3.5000000000000003E-2</v>
      </c>
      <c r="BI27" s="47">
        <f t="shared" si="17"/>
        <v>0.17</v>
      </c>
      <c r="BJ27" s="47">
        <f t="shared" si="18"/>
        <v>0.16250000000000001</v>
      </c>
      <c r="BK27" s="47">
        <f t="shared" si="19"/>
        <v>0.31428571428571428</v>
      </c>
      <c r="BL27" s="47">
        <f t="shared" si="20"/>
        <v>7.4666666666666673E-2</v>
      </c>
      <c r="BM27" s="47">
        <f t="shared" si="21"/>
        <v>1.4285714285714287E-2</v>
      </c>
      <c r="BN27" s="47">
        <f t="shared" si="22"/>
        <v>0.11000000000000001</v>
      </c>
      <c r="BO27" s="48">
        <f t="shared" si="23"/>
        <v>113.92023809523808</v>
      </c>
      <c r="BP27" s="48">
        <f t="shared" si="24"/>
        <v>0.24705882352941178</v>
      </c>
      <c r="BQ27" s="48">
        <f t="shared" si="25"/>
        <v>0.18181818181818182</v>
      </c>
      <c r="BR27" s="48">
        <f t="shared" si="26"/>
        <v>0.59090909090909094</v>
      </c>
      <c r="BS27" s="48">
        <v>23.192940476190476</v>
      </c>
      <c r="BT27" s="48">
        <v>21.277927042376582</v>
      </c>
    </row>
    <row r="28" spans="1:72" x14ac:dyDescent="0.3">
      <c r="A28" s="13">
        <v>0</v>
      </c>
      <c r="B28" s="14">
        <v>2120000013</v>
      </c>
      <c r="C28" s="15" t="s">
        <v>129</v>
      </c>
      <c r="D28" s="16" t="s">
        <v>130</v>
      </c>
      <c r="E28" s="268"/>
      <c r="F28" s="17">
        <v>136</v>
      </c>
      <c r="G28" s="18">
        <v>5.5</v>
      </c>
      <c r="H28" s="18">
        <v>0.7</v>
      </c>
      <c r="I28" s="18">
        <v>4</v>
      </c>
      <c r="J28" s="18">
        <v>0.3</v>
      </c>
      <c r="K28" s="18">
        <v>0.25</v>
      </c>
      <c r="L28" s="18">
        <v>0</v>
      </c>
      <c r="M28" s="18">
        <v>21.7</v>
      </c>
      <c r="N28" s="18">
        <v>0.2</v>
      </c>
      <c r="O28" s="18">
        <v>71.599999999999994</v>
      </c>
      <c r="P28" s="19">
        <v>64</v>
      </c>
      <c r="Q28" s="19">
        <v>0</v>
      </c>
      <c r="R28" s="18">
        <v>1.3</v>
      </c>
      <c r="S28" s="18">
        <v>2.1</v>
      </c>
      <c r="T28" s="18">
        <v>0.03</v>
      </c>
      <c r="U28" s="18">
        <v>0.04</v>
      </c>
      <c r="V28" s="18">
        <v>2.79</v>
      </c>
      <c r="W28" s="18">
        <v>6.49</v>
      </c>
      <c r="X28" s="19">
        <v>222</v>
      </c>
      <c r="Y28" s="18">
        <v>0.17</v>
      </c>
      <c r="Z28" s="18">
        <v>3.74</v>
      </c>
      <c r="AA28" s="18">
        <v>14.3</v>
      </c>
      <c r="AB28" s="18">
        <v>1.36</v>
      </c>
      <c r="AC28" s="19">
        <v>96</v>
      </c>
      <c r="AD28" s="19">
        <v>410</v>
      </c>
      <c r="AE28" s="17">
        <v>23</v>
      </c>
      <c r="AF28" s="17">
        <v>180</v>
      </c>
      <c r="AG28" s="17">
        <v>33</v>
      </c>
      <c r="AH28" s="20">
        <v>0.4</v>
      </c>
      <c r="AI28" s="21">
        <v>0.4</v>
      </c>
      <c r="AJ28" s="246"/>
      <c r="AK28" s="22">
        <v>0.217</v>
      </c>
      <c r="AL28" s="23">
        <v>0.108</v>
      </c>
      <c r="AM28" s="24" t="s">
        <v>131</v>
      </c>
      <c r="AN28" s="246"/>
      <c r="AO28" s="25">
        <f t="shared" si="0"/>
        <v>49.5</v>
      </c>
      <c r="AP28" s="27">
        <f t="shared" si="5"/>
        <v>13.333333333333334</v>
      </c>
      <c r="AQ28" s="27">
        <f t="shared" si="6"/>
        <v>2.3333333333333335</v>
      </c>
      <c r="AR28" s="27">
        <f>H28/I28</f>
        <v>0.17499999999999999</v>
      </c>
      <c r="AS28" s="27">
        <f>J28/H28</f>
        <v>0.4285714285714286</v>
      </c>
      <c r="AT28" s="26">
        <f t="shared" si="1"/>
        <v>86.8</v>
      </c>
      <c r="AU28" s="28">
        <f t="shared" si="2"/>
        <v>0.63683052090975778</v>
      </c>
      <c r="AV28" s="29">
        <f t="shared" si="3"/>
        <v>0.32500000000000001</v>
      </c>
      <c r="AW28" s="30">
        <f t="shared" si="27"/>
        <v>1.3</v>
      </c>
      <c r="AX28" s="27">
        <f>AK28/AL28</f>
        <v>2.0092592592592591</v>
      </c>
      <c r="AY28" s="31">
        <f t="shared" si="7"/>
        <v>0</v>
      </c>
      <c r="AZ28" s="31">
        <f t="shared" si="8"/>
        <v>0.26</v>
      </c>
      <c r="BA28" s="31">
        <f t="shared" si="9"/>
        <v>0.17500000000000002</v>
      </c>
      <c r="BB28" s="31">
        <f t="shared" si="10"/>
        <v>2.7272727272727268E-2</v>
      </c>
      <c r="BC28" s="31">
        <f t="shared" si="11"/>
        <v>2.8571428571428574E-2</v>
      </c>
      <c r="BD28" s="31">
        <f t="shared" si="12"/>
        <v>0.174375</v>
      </c>
      <c r="BE28" s="31">
        <f t="shared" si="13"/>
        <v>0.12142857142857144</v>
      </c>
      <c r="BF28" s="31">
        <f t="shared" si="14"/>
        <v>1.496</v>
      </c>
      <c r="BG28" s="31">
        <f t="shared" si="15"/>
        <v>7.1500000000000008E-2</v>
      </c>
      <c r="BH28" s="31">
        <f t="shared" si="16"/>
        <v>0.04</v>
      </c>
      <c r="BI28" s="31">
        <f t="shared" si="17"/>
        <v>0.20499999999999999</v>
      </c>
      <c r="BJ28" s="31">
        <f t="shared" si="18"/>
        <v>2.8750000000000001E-2</v>
      </c>
      <c r="BK28" s="31">
        <f t="shared" si="19"/>
        <v>0.25714285714285712</v>
      </c>
      <c r="BL28" s="31">
        <f t="shared" si="20"/>
        <v>8.7999999999999995E-2</v>
      </c>
      <c r="BM28" s="31">
        <f t="shared" si="21"/>
        <v>2.8571428571428574E-2</v>
      </c>
      <c r="BN28" s="31">
        <f t="shared" si="22"/>
        <v>0.04</v>
      </c>
      <c r="BO28" s="32">
        <f t="shared" si="23"/>
        <v>88.432142857142864</v>
      </c>
      <c r="BP28" s="32">
        <f t="shared" si="24"/>
        <v>0.23414634146341465</v>
      </c>
      <c r="BQ28" s="32">
        <f t="shared" si="25"/>
        <v>1</v>
      </c>
      <c r="BR28" s="32">
        <f t="shared" si="26"/>
        <v>0.12777777777777777</v>
      </c>
      <c r="BS28" s="32">
        <v>3.2792380952380951</v>
      </c>
      <c r="BT28" s="32">
        <v>2.411204481792717</v>
      </c>
    </row>
    <row r="29" spans="1:72" x14ac:dyDescent="0.3">
      <c r="A29" s="13">
        <v>0</v>
      </c>
      <c r="B29" s="14">
        <v>891</v>
      </c>
      <c r="C29" s="15" t="s">
        <v>132</v>
      </c>
      <c r="D29" s="16" t="s">
        <v>133</v>
      </c>
      <c r="E29" s="268"/>
      <c r="F29" s="33">
        <v>90</v>
      </c>
      <c r="G29" s="34">
        <v>1.6</v>
      </c>
      <c r="H29" s="34">
        <v>0.3</v>
      </c>
      <c r="I29" s="34">
        <v>0.4</v>
      </c>
      <c r="J29" s="34">
        <v>0.4</v>
      </c>
      <c r="K29" s="34">
        <v>0</v>
      </c>
      <c r="L29" s="34">
        <v>0</v>
      </c>
      <c r="M29" s="34">
        <v>19</v>
      </c>
      <c r="N29" s="34">
        <v>0.3</v>
      </c>
      <c r="O29" s="34">
        <v>78.2</v>
      </c>
      <c r="P29" s="35">
        <v>85</v>
      </c>
      <c r="Q29" s="35">
        <v>0</v>
      </c>
      <c r="R29" s="34">
        <v>10</v>
      </c>
      <c r="S29" s="34">
        <v>0.35</v>
      </c>
      <c r="T29" s="34">
        <v>0.12</v>
      </c>
      <c r="U29" s="34">
        <v>0.05</v>
      </c>
      <c r="V29" s="34">
        <v>0.51</v>
      </c>
      <c r="W29" s="34">
        <v>4</v>
      </c>
      <c r="X29" s="35">
        <v>210</v>
      </c>
      <c r="Y29" s="34">
        <v>0.13</v>
      </c>
      <c r="Z29" s="34">
        <v>1.5</v>
      </c>
      <c r="AA29" s="34">
        <v>8.5</v>
      </c>
      <c r="AB29" s="34">
        <v>1</v>
      </c>
      <c r="AC29" s="35">
        <v>110</v>
      </c>
      <c r="AD29" s="35">
        <v>230</v>
      </c>
      <c r="AE29" s="33">
        <v>54</v>
      </c>
      <c r="AF29" s="33">
        <v>170</v>
      </c>
      <c r="AG29" s="33">
        <v>29</v>
      </c>
      <c r="AH29" s="36">
        <v>0.4</v>
      </c>
      <c r="AI29" s="37">
        <v>0.6</v>
      </c>
      <c r="AJ29" s="246"/>
      <c r="AK29" s="38">
        <v>0.1</v>
      </c>
      <c r="AL29" s="39">
        <v>0.09</v>
      </c>
      <c r="AM29" s="40" t="s">
        <v>75</v>
      </c>
      <c r="AN29" s="246"/>
      <c r="AO29" s="41">
        <f t="shared" si="0"/>
        <v>14.4</v>
      </c>
      <c r="AP29" s="42">
        <f t="shared" si="5"/>
        <v>1</v>
      </c>
      <c r="AQ29" s="42">
        <f t="shared" si="6"/>
        <v>0.74999999999999989</v>
      </c>
      <c r="AR29" s="42">
        <f>H29/I29</f>
        <v>0.74999999999999989</v>
      </c>
      <c r="AS29" s="42">
        <f>J29/H29</f>
        <v>1.3333333333333335</v>
      </c>
      <c r="AT29" s="43">
        <f t="shared" si="1"/>
        <v>76</v>
      </c>
      <c r="AU29" s="44">
        <f t="shared" si="2"/>
        <v>0.84070796460176989</v>
      </c>
      <c r="AV29" s="45">
        <f t="shared" si="3"/>
        <v>0.19</v>
      </c>
      <c r="AW29" s="46">
        <f t="shared" si="27"/>
        <v>0.76</v>
      </c>
      <c r="AX29" s="42">
        <f>AK29/AL29</f>
        <v>1.1111111111111112</v>
      </c>
      <c r="AY29" s="47">
        <f t="shared" si="7"/>
        <v>0</v>
      </c>
      <c r="AZ29" s="47">
        <f t="shared" si="8"/>
        <v>2</v>
      </c>
      <c r="BA29" s="47">
        <f t="shared" si="9"/>
        <v>2.9166666666666664E-2</v>
      </c>
      <c r="BB29" s="47">
        <f t="shared" si="10"/>
        <v>0.10909090909090907</v>
      </c>
      <c r="BC29" s="47">
        <f t="shared" si="11"/>
        <v>3.5714285714285719E-2</v>
      </c>
      <c r="BD29" s="47">
        <f t="shared" si="12"/>
        <v>3.1875000000000001E-2</v>
      </c>
      <c r="BE29" s="47">
        <f t="shared" si="13"/>
        <v>9.285714285714286E-2</v>
      </c>
      <c r="BF29" s="47">
        <f t="shared" si="14"/>
        <v>0.6</v>
      </c>
      <c r="BG29" s="47">
        <f t="shared" si="15"/>
        <v>4.2500000000000003E-2</v>
      </c>
      <c r="BH29" s="47">
        <f t="shared" si="16"/>
        <v>4.583333333333333E-2</v>
      </c>
      <c r="BI29" s="47">
        <f t="shared" si="17"/>
        <v>0.115</v>
      </c>
      <c r="BJ29" s="47">
        <f t="shared" si="18"/>
        <v>6.7500000000000004E-2</v>
      </c>
      <c r="BK29" s="47">
        <f t="shared" si="19"/>
        <v>0.24285714285714285</v>
      </c>
      <c r="BL29" s="47">
        <f t="shared" si="20"/>
        <v>7.7333333333333337E-2</v>
      </c>
      <c r="BM29" s="47">
        <f t="shared" si="21"/>
        <v>2.8571428571428574E-2</v>
      </c>
      <c r="BN29" s="47">
        <f t="shared" si="22"/>
        <v>0.06</v>
      </c>
      <c r="BO29" s="48">
        <f t="shared" si="23"/>
        <v>63.673809523809531</v>
      </c>
      <c r="BP29" s="48">
        <f t="shared" si="24"/>
        <v>0.47826086956521741</v>
      </c>
      <c r="BQ29" s="48">
        <f t="shared" si="25"/>
        <v>0.66666666666666674</v>
      </c>
      <c r="BR29" s="48">
        <f t="shared" si="26"/>
        <v>0.31764705882352939</v>
      </c>
      <c r="BS29" s="48">
        <v>3.4253095238095237</v>
      </c>
      <c r="BT29" s="48">
        <v>3.8058994708994711</v>
      </c>
    </row>
    <row r="30" spans="1:72" x14ac:dyDescent="0.3">
      <c r="A30" s="13">
        <v>0</v>
      </c>
      <c r="B30" s="14">
        <v>893</v>
      </c>
      <c r="C30" s="15" t="s">
        <v>134</v>
      </c>
      <c r="D30" s="16" t="s">
        <v>135</v>
      </c>
      <c r="E30" s="268"/>
      <c r="F30" s="17">
        <v>73</v>
      </c>
      <c r="G30" s="18">
        <v>0.2</v>
      </c>
      <c r="H30" s="18">
        <v>0</v>
      </c>
      <c r="I30" s="18">
        <v>0</v>
      </c>
      <c r="J30" s="18">
        <v>0.1</v>
      </c>
      <c r="K30" s="18">
        <v>0</v>
      </c>
      <c r="L30" s="18">
        <v>0</v>
      </c>
      <c r="M30" s="18">
        <v>17.899999999999999</v>
      </c>
      <c r="N30" s="18">
        <v>0.2</v>
      </c>
      <c r="O30" s="18">
        <v>80.400000000000006</v>
      </c>
      <c r="P30" s="19">
        <v>42</v>
      </c>
      <c r="Q30" s="19">
        <v>24</v>
      </c>
      <c r="R30" s="18">
        <v>0</v>
      </c>
      <c r="S30" s="18">
        <v>0.23</v>
      </c>
      <c r="T30" s="18">
        <v>0.04</v>
      </c>
      <c r="U30" s="18">
        <v>0.02</v>
      </c>
      <c r="V30" s="18">
        <v>2</v>
      </c>
      <c r="W30" s="18">
        <v>5.3</v>
      </c>
      <c r="X30" s="19">
        <v>198</v>
      </c>
      <c r="Y30" s="18">
        <v>0.05</v>
      </c>
      <c r="Z30" s="18">
        <v>0.26</v>
      </c>
      <c r="AA30" s="18">
        <v>7.3</v>
      </c>
      <c r="AB30" s="18">
        <v>1.1000000000000001</v>
      </c>
      <c r="AC30" s="19">
        <v>86</v>
      </c>
      <c r="AD30" s="19">
        <v>330</v>
      </c>
      <c r="AE30" s="17">
        <v>7</v>
      </c>
      <c r="AF30" s="17">
        <v>210</v>
      </c>
      <c r="AG30" s="17">
        <v>27</v>
      </c>
      <c r="AH30" s="20">
        <v>0.2</v>
      </c>
      <c r="AI30" s="21">
        <v>0.5</v>
      </c>
      <c r="AJ30" s="246"/>
      <c r="AK30" s="22">
        <v>0</v>
      </c>
      <c r="AL30" s="23">
        <v>0</v>
      </c>
      <c r="AM30" s="49" t="s">
        <v>78</v>
      </c>
      <c r="AN30" s="246"/>
      <c r="AO30" s="25">
        <f t="shared" si="0"/>
        <v>1.8</v>
      </c>
      <c r="AP30" s="27">
        <f t="shared" si="5"/>
        <v>0</v>
      </c>
      <c r="AQ30" s="27">
        <f t="shared" si="6"/>
        <v>0</v>
      </c>
      <c r="AR30" s="27">
        <v>0</v>
      </c>
      <c r="AS30" s="27">
        <v>0</v>
      </c>
      <c r="AT30" s="26">
        <f t="shared" si="1"/>
        <v>71.599999999999994</v>
      </c>
      <c r="AU30" s="28">
        <f t="shared" si="2"/>
        <v>0.9754768392370573</v>
      </c>
      <c r="AV30" s="29">
        <f t="shared" si="3"/>
        <v>0</v>
      </c>
      <c r="AW30" s="30">
        <f t="shared" si="27"/>
        <v>0</v>
      </c>
      <c r="AX30" s="27">
        <v>0</v>
      </c>
      <c r="AY30" s="31">
        <f t="shared" si="7"/>
        <v>0.03</v>
      </c>
      <c r="AZ30" s="31">
        <f t="shared" si="8"/>
        <v>0</v>
      </c>
      <c r="BA30" s="31">
        <f t="shared" si="9"/>
        <v>1.9166666666666669E-2</v>
      </c>
      <c r="BB30" s="31">
        <f t="shared" si="10"/>
        <v>3.6363636363636362E-2</v>
      </c>
      <c r="BC30" s="31">
        <f t="shared" si="11"/>
        <v>1.4285714285714287E-2</v>
      </c>
      <c r="BD30" s="31">
        <f t="shared" si="12"/>
        <v>0.125</v>
      </c>
      <c r="BE30" s="31">
        <f t="shared" si="13"/>
        <v>3.5714285714285719E-2</v>
      </c>
      <c r="BF30" s="31">
        <f t="shared" si="14"/>
        <v>0.10400000000000001</v>
      </c>
      <c r="BG30" s="31">
        <f t="shared" si="15"/>
        <v>3.6499999999999998E-2</v>
      </c>
      <c r="BH30" s="31">
        <f t="shared" si="16"/>
        <v>3.5833333333333335E-2</v>
      </c>
      <c r="BI30" s="31">
        <f t="shared" si="17"/>
        <v>0.16500000000000001</v>
      </c>
      <c r="BJ30" s="31">
        <f t="shared" si="18"/>
        <v>8.7500000000000008E-3</v>
      </c>
      <c r="BK30" s="31">
        <f t="shared" si="19"/>
        <v>0.3</v>
      </c>
      <c r="BL30" s="31">
        <f t="shared" si="20"/>
        <v>7.1999999999999995E-2</v>
      </c>
      <c r="BM30" s="31">
        <f t="shared" si="21"/>
        <v>1.4285714285714287E-2</v>
      </c>
      <c r="BN30" s="31">
        <f t="shared" si="22"/>
        <v>0.05</v>
      </c>
      <c r="BO30" s="32">
        <f t="shared" si="23"/>
        <v>63.136904761904752</v>
      </c>
      <c r="BP30" s="32">
        <f t="shared" si="24"/>
        <v>0.26060606060606062</v>
      </c>
      <c r="BQ30" s="32">
        <f t="shared" si="25"/>
        <v>0.4</v>
      </c>
      <c r="BR30" s="32">
        <f t="shared" si="26"/>
        <v>3.3333333333333333E-2</v>
      </c>
      <c r="BS30" s="32">
        <v>0.30945238095238098</v>
      </c>
      <c r="BT30" s="32">
        <v>0.42390737116764515</v>
      </c>
    </row>
    <row r="31" spans="1:72" x14ac:dyDescent="0.3">
      <c r="A31" s="51">
        <v>0</v>
      </c>
      <c r="B31" s="52">
        <v>905</v>
      </c>
      <c r="C31" s="53" t="s">
        <v>136</v>
      </c>
      <c r="D31" s="54" t="s">
        <v>137</v>
      </c>
      <c r="E31" s="268"/>
      <c r="F31" s="55">
        <v>92</v>
      </c>
      <c r="G31" s="56">
        <v>2.2999999999999998</v>
      </c>
      <c r="H31" s="56">
        <v>0.5</v>
      </c>
      <c r="I31" s="56">
        <v>0.5</v>
      </c>
      <c r="J31" s="56">
        <v>0.9</v>
      </c>
      <c r="K31" s="56">
        <v>0.2</v>
      </c>
      <c r="L31" s="56">
        <v>0</v>
      </c>
      <c r="M31" s="56">
        <v>17.8</v>
      </c>
      <c r="N31" s="56">
        <v>0.1</v>
      </c>
      <c r="O31" s="56">
        <v>78</v>
      </c>
      <c r="P31" s="57">
        <v>38</v>
      </c>
      <c r="Q31" s="57">
        <v>9</v>
      </c>
      <c r="R31" s="56">
        <v>19</v>
      </c>
      <c r="S31" s="56">
        <v>0.13</v>
      </c>
      <c r="T31" s="56">
        <v>0.09</v>
      </c>
      <c r="U31" s="56">
        <v>0.04</v>
      </c>
      <c r="V31" s="56">
        <v>4</v>
      </c>
      <c r="W31" s="56">
        <v>7.3</v>
      </c>
      <c r="X31" s="57">
        <v>198</v>
      </c>
      <c r="Y31" s="56">
        <v>0.28000000000000003</v>
      </c>
      <c r="Z31" s="56">
        <v>1.9</v>
      </c>
      <c r="AA31" s="56">
        <v>8.1999999999999993</v>
      </c>
      <c r="AB31" s="56">
        <v>1.3</v>
      </c>
      <c r="AC31" s="57">
        <v>41</v>
      </c>
      <c r="AD31" s="57">
        <v>400</v>
      </c>
      <c r="AE31" s="55">
        <v>20</v>
      </c>
      <c r="AF31" s="55">
        <v>250</v>
      </c>
      <c r="AG31" s="55">
        <v>24</v>
      </c>
      <c r="AH31" s="58">
        <v>0.2</v>
      </c>
      <c r="AI31" s="59">
        <v>0.6</v>
      </c>
      <c r="AJ31" s="246"/>
      <c r="AK31" s="60">
        <v>0.6</v>
      </c>
      <c r="AL31" s="61">
        <v>1.8</v>
      </c>
      <c r="AM31" s="62" t="s">
        <v>78</v>
      </c>
      <c r="AN31" s="246"/>
      <c r="AO31" s="63">
        <f t="shared" si="0"/>
        <v>20.7</v>
      </c>
      <c r="AP31" s="42">
        <f t="shared" si="5"/>
        <v>0.55555555555555558</v>
      </c>
      <c r="AQ31" s="42">
        <f t="shared" si="6"/>
        <v>0.55555555555555558</v>
      </c>
      <c r="AR31" s="42">
        <f t="shared" ref="AR31:AR41" si="33">H31/I31</f>
        <v>1</v>
      </c>
      <c r="AS31" s="42">
        <f t="shared" ref="AS31:AS41" si="34">J31/H31</f>
        <v>1.8</v>
      </c>
      <c r="AT31" s="64">
        <f t="shared" si="1"/>
        <v>71.2</v>
      </c>
      <c r="AU31" s="65">
        <f t="shared" si="2"/>
        <v>0.77475516866158867</v>
      </c>
      <c r="AV31" s="66">
        <f t="shared" si="3"/>
        <v>2.4</v>
      </c>
      <c r="AW31" s="67">
        <f t="shared" si="27"/>
        <v>9.6</v>
      </c>
      <c r="AX31" s="68">
        <f t="shared" ref="AX31:AX41" si="35">AK31/AL31</f>
        <v>0.33333333333333331</v>
      </c>
      <c r="AY31" s="69">
        <f t="shared" si="7"/>
        <v>1.125E-2</v>
      </c>
      <c r="AZ31" s="69">
        <f t="shared" si="8"/>
        <v>3.8</v>
      </c>
      <c r="BA31" s="69">
        <f t="shared" si="9"/>
        <v>1.0833333333333334E-2</v>
      </c>
      <c r="BB31" s="69">
        <f t="shared" si="10"/>
        <v>8.1818181818181804E-2</v>
      </c>
      <c r="BC31" s="69">
        <f t="shared" si="11"/>
        <v>2.8571428571428574E-2</v>
      </c>
      <c r="BD31" s="69">
        <f t="shared" si="12"/>
        <v>0.25</v>
      </c>
      <c r="BE31" s="69">
        <f t="shared" si="13"/>
        <v>0.20000000000000004</v>
      </c>
      <c r="BF31" s="69">
        <f t="shared" si="14"/>
        <v>0.76</v>
      </c>
      <c r="BG31" s="69">
        <f t="shared" si="15"/>
        <v>4.0999999999999995E-2</v>
      </c>
      <c r="BH31" s="69">
        <f t="shared" si="16"/>
        <v>1.7083333333333332E-2</v>
      </c>
      <c r="BI31" s="69">
        <f t="shared" si="17"/>
        <v>0.2</v>
      </c>
      <c r="BJ31" s="69">
        <f t="shared" si="18"/>
        <v>2.5000000000000001E-2</v>
      </c>
      <c r="BK31" s="69">
        <f t="shared" si="19"/>
        <v>0.35714285714285715</v>
      </c>
      <c r="BL31" s="69">
        <f t="shared" si="20"/>
        <v>6.4000000000000001E-2</v>
      </c>
      <c r="BM31" s="69">
        <f t="shared" si="21"/>
        <v>1.4285714285714287E-2</v>
      </c>
      <c r="BN31" s="69">
        <f t="shared" si="22"/>
        <v>0.06</v>
      </c>
      <c r="BO31" s="70">
        <f t="shared" si="23"/>
        <v>63.928571428571438</v>
      </c>
      <c r="BP31" s="70">
        <f t="shared" si="24"/>
        <v>0.10249999999999999</v>
      </c>
      <c r="BQ31" s="70">
        <f t="shared" si="25"/>
        <v>0.33333333333333337</v>
      </c>
      <c r="BR31" s="70">
        <f t="shared" si="26"/>
        <v>0.08</v>
      </c>
      <c r="BS31" s="70">
        <v>14.569357142857141</v>
      </c>
      <c r="BT31" s="70">
        <v>15.836257763975153</v>
      </c>
    </row>
    <row r="32" spans="1:72" x14ac:dyDescent="0.3">
      <c r="A32" s="71">
        <v>1</v>
      </c>
      <c r="B32" s="72">
        <v>831</v>
      </c>
      <c r="C32" s="73" t="s">
        <v>138</v>
      </c>
      <c r="D32" s="74" t="s">
        <v>139</v>
      </c>
      <c r="E32" s="268"/>
      <c r="F32" s="75">
        <v>303</v>
      </c>
      <c r="G32" s="76">
        <v>27.7</v>
      </c>
      <c r="H32" s="76">
        <v>8.6</v>
      </c>
      <c r="I32" s="76">
        <v>2.4</v>
      </c>
      <c r="J32" s="76">
        <v>9.4</v>
      </c>
      <c r="K32" s="76">
        <v>0.1</v>
      </c>
      <c r="L32" s="76">
        <v>0</v>
      </c>
      <c r="M32" s="76">
        <v>13.4</v>
      </c>
      <c r="N32" s="76">
        <v>0.2</v>
      </c>
      <c r="O32" s="76">
        <v>57.4</v>
      </c>
      <c r="P32" s="77">
        <v>26</v>
      </c>
      <c r="Q32" s="77">
        <v>887</v>
      </c>
      <c r="R32" s="76">
        <v>16</v>
      </c>
      <c r="S32" s="76">
        <v>2.4</v>
      </c>
      <c r="T32" s="76">
        <v>0.28000000000000003</v>
      </c>
      <c r="U32" s="76">
        <v>0.26</v>
      </c>
      <c r="V32" s="76">
        <v>1.3</v>
      </c>
      <c r="W32" s="76">
        <v>3.8</v>
      </c>
      <c r="X32" s="77">
        <v>150</v>
      </c>
      <c r="Y32" s="76">
        <v>0.15</v>
      </c>
      <c r="Z32" s="76">
        <v>1.9</v>
      </c>
      <c r="AA32" s="76">
        <v>9.3000000000000007</v>
      </c>
      <c r="AB32" s="76">
        <v>1.2</v>
      </c>
      <c r="AC32" s="77">
        <v>77</v>
      </c>
      <c r="AD32" s="77">
        <v>180</v>
      </c>
      <c r="AE32" s="75">
        <v>140</v>
      </c>
      <c r="AF32" s="75">
        <v>250</v>
      </c>
      <c r="AG32" s="75">
        <v>16</v>
      </c>
      <c r="AH32" s="78">
        <v>0.5</v>
      </c>
      <c r="AI32" s="79">
        <v>2.5</v>
      </c>
      <c r="AJ32" s="246"/>
      <c r="AK32" s="80">
        <v>2.2000000000000002</v>
      </c>
      <c r="AL32" s="81">
        <v>3.5</v>
      </c>
      <c r="AM32" s="82" t="s">
        <v>78</v>
      </c>
      <c r="AN32" s="246"/>
      <c r="AO32" s="83">
        <f t="shared" si="0"/>
        <v>249.29999999999998</v>
      </c>
      <c r="AP32" s="84">
        <f t="shared" si="5"/>
        <v>0.25531914893617019</v>
      </c>
      <c r="AQ32" s="84">
        <f t="shared" si="6"/>
        <v>0.91489361702127647</v>
      </c>
      <c r="AR32" s="84">
        <f t="shared" si="33"/>
        <v>3.5833333333333335</v>
      </c>
      <c r="AS32" s="84">
        <f t="shared" si="34"/>
        <v>1.0930232558139537</v>
      </c>
      <c r="AT32" s="85">
        <f t="shared" si="1"/>
        <v>53.6</v>
      </c>
      <c r="AU32" s="86">
        <f t="shared" si="2"/>
        <v>0.17695609111918126</v>
      </c>
      <c r="AV32" s="87">
        <f t="shared" si="3"/>
        <v>5.7</v>
      </c>
      <c r="AW32" s="88">
        <f t="shared" si="27"/>
        <v>22.8</v>
      </c>
      <c r="AX32" s="89">
        <f t="shared" si="35"/>
        <v>0.62857142857142867</v>
      </c>
      <c r="AY32" s="90">
        <f t="shared" si="7"/>
        <v>1.1087499999999999</v>
      </c>
      <c r="AZ32" s="90">
        <f t="shared" si="8"/>
        <v>3.2</v>
      </c>
      <c r="BA32" s="90">
        <f t="shared" si="9"/>
        <v>0.19999999999999998</v>
      </c>
      <c r="BB32" s="90">
        <f t="shared" si="10"/>
        <v>0.25454545454545457</v>
      </c>
      <c r="BC32" s="90">
        <f t="shared" si="11"/>
        <v>0.18571428571428572</v>
      </c>
      <c r="BD32" s="90">
        <f t="shared" si="12"/>
        <v>8.1250000000000003E-2</v>
      </c>
      <c r="BE32" s="90">
        <f t="shared" si="13"/>
        <v>0.10714285714285715</v>
      </c>
      <c r="BF32" s="90">
        <f t="shared" si="14"/>
        <v>0.76</v>
      </c>
      <c r="BG32" s="90">
        <f t="shared" si="15"/>
        <v>4.6500000000000007E-2</v>
      </c>
      <c r="BH32" s="90">
        <f t="shared" si="16"/>
        <v>3.2083333333333332E-2</v>
      </c>
      <c r="BI32" s="90">
        <f t="shared" si="17"/>
        <v>0.09</v>
      </c>
      <c r="BJ32" s="90">
        <f t="shared" si="18"/>
        <v>0.17499999999999999</v>
      </c>
      <c r="BK32" s="90">
        <f t="shared" si="19"/>
        <v>0.35714285714285715</v>
      </c>
      <c r="BL32" s="90">
        <f t="shared" si="20"/>
        <v>4.2666666666666665E-2</v>
      </c>
      <c r="BM32" s="90">
        <f t="shared" si="21"/>
        <v>3.5714285714285712E-2</v>
      </c>
      <c r="BN32" s="90">
        <f t="shared" si="22"/>
        <v>0.25</v>
      </c>
      <c r="BO32" s="91">
        <f t="shared" si="23"/>
        <v>145.8047619047619</v>
      </c>
      <c r="BP32" s="91">
        <f t="shared" si="24"/>
        <v>0.42777777777777776</v>
      </c>
      <c r="BQ32" s="91">
        <f t="shared" si="25"/>
        <v>0.2</v>
      </c>
      <c r="BR32" s="91">
        <f t="shared" si="26"/>
        <v>0.56000000000000005</v>
      </c>
      <c r="BS32" s="91">
        <v>28.031238095238098</v>
      </c>
      <c r="BT32" s="91">
        <v>9.2512336947980529</v>
      </c>
    </row>
    <row r="33" spans="1:72" x14ac:dyDescent="0.3">
      <c r="A33" s="92">
        <v>1</v>
      </c>
      <c r="B33" s="93">
        <v>1900000101</v>
      </c>
      <c r="C33" s="94" t="s">
        <v>140</v>
      </c>
      <c r="D33" s="95" t="s">
        <v>141</v>
      </c>
      <c r="E33" s="268"/>
      <c r="F33" s="96">
        <v>314</v>
      </c>
      <c r="G33" s="97">
        <v>27.4</v>
      </c>
      <c r="H33" s="97">
        <v>5.8</v>
      </c>
      <c r="I33" s="97">
        <v>11.8</v>
      </c>
      <c r="J33" s="97">
        <v>6</v>
      </c>
      <c r="K33" s="97">
        <v>0.6</v>
      </c>
      <c r="L33" s="97">
        <v>0</v>
      </c>
      <c r="M33" s="97">
        <v>16.7</v>
      </c>
      <c r="N33" s="97">
        <v>0.9</v>
      </c>
      <c r="O33" s="97">
        <v>54.3</v>
      </c>
      <c r="P33" s="98">
        <v>108</v>
      </c>
      <c r="Q33" s="98">
        <v>5350</v>
      </c>
      <c r="R33" s="97">
        <v>14.3</v>
      </c>
      <c r="S33" s="97">
        <v>5.9</v>
      </c>
      <c r="T33" s="97">
        <v>0.2</v>
      </c>
      <c r="U33" s="97">
        <v>0.6</v>
      </c>
      <c r="V33" s="97">
        <v>3</v>
      </c>
      <c r="W33" s="97">
        <v>5.5</v>
      </c>
      <c r="X33" s="98">
        <v>150</v>
      </c>
      <c r="Y33" s="97">
        <v>0.19</v>
      </c>
      <c r="Z33" s="97">
        <v>2.95</v>
      </c>
      <c r="AA33" s="97">
        <v>16.5</v>
      </c>
      <c r="AB33" s="97">
        <v>1.55</v>
      </c>
      <c r="AC33" s="98">
        <v>350</v>
      </c>
      <c r="AD33" s="98">
        <v>180</v>
      </c>
      <c r="AE33" s="96">
        <v>7.5</v>
      </c>
      <c r="AF33" s="96">
        <v>190</v>
      </c>
      <c r="AG33" s="96">
        <v>15</v>
      </c>
      <c r="AH33" s="99">
        <v>4.0999999999999996</v>
      </c>
      <c r="AI33" s="100">
        <v>2.2000000000000002</v>
      </c>
      <c r="AJ33" s="246"/>
      <c r="AK33" s="101">
        <f>18.2*0.0157</f>
        <v>0.28573999999999994</v>
      </c>
      <c r="AL33" s="102">
        <f>18.2*0.02843</f>
        <v>0.51742599999999994</v>
      </c>
      <c r="AM33" s="103" t="s">
        <v>142</v>
      </c>
      <c r="AN33" s="246"/>
      <c r="AO33" s="104">
        <f t="shared" si="0"/>
        <v>246.6</v>
      </c>
      <c r="AP33" s="105">
        <f t="shared" si="5"/>
        <v>1.9666666666666668</v>
      </c>
      <c r="AQ33" s="105">
        <f t="shared" si="6"/>
        <v>0.96666666666666667</v>
      </c>
      <c r="AR33" s="105">
        <f t="shared" si="33"/>
        <v>0.49152542372881353</v>
      </c>
      <c r="AS33" s="105">
        <f t="shared" si="34"/>
        <v>1.0344827586206897</v>
      </c>
      <c r="AT33" s="106">
        <f t="shared" si="1"/>
        <v>66.8</v>
      </c>
      <c r="AU33" s="107">
        <f t="shared" si="2"/>
        <v>0.21314613911933633</v>
      </c>
      <c r="AV33" s="108">
        <f t="shared" si="3"/>
        <v>0.80316599999999982</v>
      </c>
      <c r="AW33" s="109">
        <f t="shared" si="27"/>
        <v>3.2126639999999993</v>
      </c>
      <c r="AX33" s="110">
        <f t="shared" si="35"/>
        <v>0.5522335561027083</v>
      </c>
      <c r="AY33" s="111">
        <f t="shared" si="7"/>
        <v>6.6875</v>
      </c>
      <c r="AZ33" s="111">
        <f t="shared" si="8"/>
        <v>2.8600000000000003</v>
      </c>
      <c r="BA33" s="111">
        <f t="shared" si="9"/>
        <v>0.4916666666666667</v>
      </c>
      <c r="BB33" s="111">
        <f t="shared" si="10"/>
        <v>0.18181818181818182</v>
      </c>
      <c r="BC33" s="111">
        <f t="shared" si="11"/>
        <v>0.4285714285714286</v>
      </c>
      <c r="BD33" s="111">
        <f t="shared" si="12"/>
        <v>0.1875</v>
      </c>
      <c r="BE33" s="111">
        <f t="shared" si="13"/>
        <v>0.13571428571428573</v>
      </c>
      <c r="BF33" s="111">
        <f t="shared" si="14"/>
        <v>1.1800000000000002</v>
      </c>
      <c r="BG33" s="111">
        <f t="shared" si="15"/>
        <v>8.2500000000000004E-2</v>
      </c>
      <c r="BH33" s="111">
        <f t="shared" si="16"/>
        <v>0.14583333333333334</v>
      </c>
      <c r="BI33" s="111">
        <f t="shared" si="17"/>
        <v>0.09</v>
      </c>
      <c r="BJ33" s="111">
        <f t="shared" si="18"/>
        <v>9.3749999999999997E-3</v>
      </c>
      <c r="BK33" s="111">
        <f t="shared" si="19"/>
        <v>0.27142857142857141</v>
      </c>
      <c r="BL33" s="111">
        <f t="shared" si="20"/>
        <v>0.04</v>
      </c>
      <c r="BM33" s="111">
        <f t="shared" si="21"/>
        <v>0.29285714285714282</v>
      </c>
      <c r="BN33" s="111">
        <f t="shared" si="22"/>
        <v>0.22000000000000003</v>
      </c>
      <c r="BO33" s="112">
        <f t="shared" si="23"/>
        <v>750.95654761904768</v>
      </c>
      <c r="BP33" s="112">
        <f t="shared" si="24"/>
        <v>1.9444444444444444</v>
      </c>
      <c r="BQ33" s="112">
        <f t="shared" si="25"/>
        <v>1.8636363636363633</v>
      </c>
      <c r="BR33" s="112">
        <f t="shared" si="26"/>
        <v>3.9473684210526314E-2</v>
      </c>
      <c r="BS33" s="112">
        <v>14.351473523809524</v>
      </c>
      <c r="BT33" s="112">
        <v>4.5705329693660905</v>
      </c>
    </row>
    <row r="34" spans="1:72" x14ac:dyDescent="0.3">
      <c r="A34" s="113">
        <v>2</v>
      </c>
      <c r="B34" s="114">
        <v>811</v>
      </c>
      <c r="C34" s="115" t="s">
        <v>143</v>
      </c>
      <c r="D34" s="116" t="s">
        <v>144</v>
      </c>
      <c r="E34" s="268"/>
      <c r="F34" s="117">
        <v>141</v>
      </c>
      <c r="G34" s="118">
        <v>4.9000000000000004</v>
      </c>
      <c r="H34" s="118">
        <v>1.7</v>
      </c>
      <c r="I34" s="118">
        <v>1.7</v>
      </c>
      <c r="J34" s="118">
        <v>0.8</v>
      </c>
      <c r="K34" s="118">
        <v>0.1</v>
      </c>
      <c r="L34" s="118">
        <v>0</v>
      </c>
      <c r="M34" s="118">
        <v>24.1</v>
      </c>
      <c r="N34" s="118">
        <v>0.1</v>
      </c>
      <c r="O34" s="118">
        <v>68.7</v>
      </c>
      <c r="P34" s="119">
        <v>30</v>
      </c>
      <c r="Q34" s="119">
        <v>11</v>
      </c>
      <c r="R34" s="118">
        <v>4.2</v>
      </c>
      <c r="S34" s="118">
        <v>0.64</v>
      </c>
      <c r="T34" s="118">
        <v>0.1</v>
      </c>
      <c r="U34" s="118">
        <v>0.05</v>
      </c>
      <c r="V34" s="118">
        <v>10</v>
      </c>
      <c r="W34" s="118">
        <v>15</v>
      </c>
      <c r="X34" s="119">
        <v>276</v>
      </c>
      <c r="Y34" s="118">
        <v>0.56000000000000005</v>
      </c>
      <c r="Z34" s="118">
        <v>2.4</v>
      </c>
      <c r="AA34" s="118">
        <v>8.3000000000000007</v>
      </c>
      <c r="AB34" s="118">
        <v>1.5</v>
      </c>
      <c r="AC34" s="119">
        <v>45</v>
      </c>
      <c r="AD34" s="119">
        <v>360</v>
      </c>
      <c r="AE34" s="117">
        <v>4</v>
      </c>
      <c r="AF34" s="117">
        <v>260</v>
      </c>
      <c r="AG34" s="117">
        <v>37</v>
      </c>
      <c r="AH34" s="120">
        <v>2.2000000000000002</v>
      </c>
      <c r="AI34" s="121">
        <v>1.5</v>
      </c>
      <c r="AJ34" s="246"/>
      <c r="AK34" s="122">
        <v>0.28299999999999997</v>
      </c>
      <c r="AL34" s="123">
        <v>0.89</v>
      </c>
      <c r="AM34" s="124" t="s">
        <v>145</v>
      </c>
      <c r="AN34" s="246"/>
      <c r="AO34" s="125">
        <f t="shared" si="0"/>
        <v>44.1</v>
      </c>
      <c r="AP34" s="126">
        <f t="shared" si="5"/>
        <v>2.125</v>
      </c>
      <c r="AQ34" s="126">
        <f t="shared" si="6"/>
        <v>2.125</v>
      </c>
      <c r="AR34" s="126">
        <f t="shared" si="33"/>
        <v>1</v>
      </c>
      <c r="AS34" s="126">
        <f t="shared" si="34"/>
        <v>0.4705882352941177</v>
      </c>
      <c r="AT34" s="127">
        <f t="shared" si="1"/>
        <v>96.4</v>
      </c>
      <c r="AU34" s="128">
        <f t="shared" si="2"/>
        <v>0.68612099644128122</v>
      </c>
      <c r="AV34" s="129">
        <f t="shared" si="3"/>
        <v>1.173</v>
      </c>
      <c r="AW34" s="130">
        <f t="shared" si="27"/>
        <v>4.6920000000000002</v>
      </c>
      <c r="AX34" s="131">
        <f t="shared" si="35"/>
        <v>0.31797752808988761</v>
      </c>
      <c r="AY34" s="132">
        <f t="shared" si="7"/>
        <v>1.375E-2</v>
      </c>
      <c r="AZ34" s="132">
        <f t="shared" si="8"/>
        <v>0.84000000000000008</v>
      </c>
      <c r="BA34" s="132">
        <f t="shared" si="9"/>
        <v>5.3333333333333337E-2</v>
      </c>
      <c r="BB34" s="132">
        <f t="shared" si="10"/>
        <v>9.0909090909090912E-2</v>
      </c>
      <c r="BC34" s="132">
        <f t="shared" si="11"/>
        <v>3.5714285714285719E-2</v>
      </c>
      <c r="BD34" s="132">
        <f t="shared" si="12"/>
        <v>0.625</v>
      </c>
      <c r="BE34" s="132">
        <f t="shared" si="13"/>
        <v>0.40000000000000008</v>
      </c>
      <c r="BF34" s="132">
        <f t="shared" si="14"/>
        <v>0.96</v>
      </c>
      <c r="BG34" s="132">
        <f t="shared" si="15"/>
        <v>4.1500000000000002E-2</v>
      </c>
      <c r="BH34" s="132">
        <f t="shared" si="16"/>
        <v>1.8749999999999999E-2</v>
      </c>
      <c r="BI34" s="132">
        <f t="shared" si="17"/>
        <v>0.18</v>
      </c>
      <c r="BJ34" s="132">
        <f t="shared" si="18"/>
        <v>5.0000000000000001E-3</v>
      </c>
      <c r="BK34" s="132">
        <f t="shared" si="19"/>
        <v>0.37142857142857144</v>
      </c>
      <c r="BL34" s="132">
        <f t="shared" si="20"/>
        <v>9.8666666666666666E-2</v>
      </c>
      <c r="BM34" s="132">
        <f t="shared" si="21"/>
        <v>0.15714285714285717</v>
      </c>
      <c r="BN34" s="132">
        <f t="shared" si="22"/>
        <v>0.15</v>
      </c>
      <c r="BO34" s="133">
        <f t="shared" si="23"/>
        <v>88.614285714285714</v>
      </c>
      <c r="BP34" s="133">
        <f t="shared" si="24"/>
        <v>0.125</v>
      </c>
      <c r="BQ34" s="133">
        <f t="shared" si="25"/>
        <v>1.4666666666666668</v>
      </c>
      <c r="BR34" s="133">
        <f t="shared" si="26"/>
        <v>1.5384615384615385E-2</v>
      </c>
      <c r="BS34" s="133">
        <v>7.3235238095238095</v>
      </c>
      <c r="BT34" s="133">
        <v>5.1939885173927722</v>
      </c>
    </row>
    <row r="35" spans="1:72" x14ac:dyDescent="0.3">
      <c r="A35" s="113">
        <v>2</v>
      </c>
      <c r="B35" s="114">
        <v>817</v>
      </c>
      <c r="C35" s="115" t="s">
        <v>146</v>
      </c>
      <c r="D35" s="134" t="s">
        <v>147</v>
      </c>
      <c r="E35" s="268"/>
      <c r="F35" s="135">
        <v>105</v>
      </c>
      <c r="G35" s="136">
        <v>2.9</v>
      </c>
      <c r="H35" s="136">
        <v>0.7</v>
      </c>
      <c r="I35" s="136">
        <v>0.8</v>
      </c>
      <c r="J35" s="136">
        <v>0.9</v>
      </c>
      <c r="K35" s="136">
        <v>0</v>
      </c>
      <c r="L35" s="136">
        <v>0</v>
      </c>
      <c r="M35" s="136">
        <v>19.7</v>
      </c>
      <c r="N35" s="136">
        <v>0.2</v>
      </c>
      <c r="O35" s="136">
        <v>75.599999999999994</v>
      </c>
      <c r="P35" s="137">
        <v>36</v>
      </c>
      <c r="Q35" s="137">
        <v>15</v>
      </c>
      <c r="R35" s="136">
        <v>4.0999999999999996</v>
      </c>
      <c r="S35" s="136">
        <v>0.37</v>
      </c>
      <c r="T35" s="136">
        <v>0.15</v>
      </c>
      <c r="U35" s="136">
        <v>0.15</v>
      </c>
      <c r="V35" s="136">
        <v>5</v>
      </c>
      <c r="W35" s="136">
        <v>8.6999999999999993</v>
      </c>
      <c r="X35" s="137">
        <v>222</v>
      </c>
      <c r="Y35" s="136">
        <v>0.36</v>
      </c>
      <c r="Z35" s="136">
        <v>5.7</v>
      </c>
      <c r="AA35" s="136">
        <v>15</v>
      </c>
      <c r="AB35" s="136">
        <v>1.4</v>
      </c>
      <c r="AC35" s="137">
        <v>80</v>
      </c>
      <c r="AD35" s="137">
        <v>400</v>
      </c>
      <c r="AE35" s="135">
        <v>69</v>
      </c>
      <c r="AF35" s="135">
        <v>260</v>
      </c>
      <c r="AG35" s="135">
        <v>33</v>
      </c>
      <c r="AH35" s="138">
        <v>1.2</v>
      </c>
      <c r="AI35" s="139">
        <v>1.2</v>
      </c>
      <c r="AJ35" s="246"/>
      <c r="AK35" s="140">
        <v>0.434</v>
      </c>
      <c r="AL35" s="141">
        <v>0.79600000000000004</v>
      </c>
      <c r="AM35" s="142" t="s">
        <v>148</v>
      </c>
      <c r="AN35" s="246"/>
      <c r="AO35" s="143">
        <f t="shared" si="0"/>
        <v>26.099999999999998</v>
      </c>
      <c r="AP35" s="144">
        <f t="shared" si="5"/>
        <v>0.88888888888888895</v>
      </c>
      <c r="AQ35" s="144">
        <f t="shared" si="6"/>
        <v>0.77777777777777768</v>
      </c>
      <c r="AR35" s="144">
        <f t="shared" si="33"/>
        <v>0.87499999999999989</v>
      </c>
      <c r="AS35" s="144">
        <f t="shared" si="34"/>
        <v>1.2857142857142858</v>
      </c>
      <c r="AT35" s="145">
        <f t="shared" si="1"/>
        <v>78.8</v>
      </c>
      <c r="AU35" s="146">
        <f t="shared" si="2"/>
        <v>0.75119161105815069</v>
      </c>
      <c r="AV35" s="147">
        <f t="shared" si="3"/>
        <v>1.23</v>
      </c>
      <c r="AW35" s="148">
        <f t="shared" si="27"/>
        <v>4.92</v>
      </c>
      <c r="AX35" s="144">
        <f t="shared" si="35"/>
        <v>0.54522613065326631</v>
      </c>
      <c r="AY35" s="149">
        <f t="shared" si="7"/>
        <v>1.8749999999999999E-2</v>
      </c>
      <c r="AZ35" s="149">
        <f t="shared" si="8"/>
        <v>0.82</v>
      </c>
      <c r="BA35" s="149">
        <f t="shared" si="9"/>
        <v>3.0833333333333334E-2</v>
      </c>
      <c r="BB35" s="149">
        <f t="shared" si="10"/>
        <v>0.13636363636363635</v>
      </c>
      <c r="BC35" s="149">
        <f t="shared" si="11"/>
        <v>0.10714285714285715</v>
      </c>
      <c r="BD35" s="149">
        <f t="shared" si="12"/>
        <v>0.3125</v>
      </c>
      <c r="BE35" s="149">
        <f t="shared" si="13"/>
        <v>0.25714285714285717</v>
      </c>
      <c r="BF35" s="149">
        <f t="shared" si="14"/>
        <v>2.2800000000000002</v>
      </c>
      <c r="BG35" s="149">
        <f t="shared" si="15"/>
        <v>7.4999999999999997E-2</v>
      </c>
      <c r="BH35" s="149">
        <f t="shared" si="16"/>
        <v>3.3333333333333333E-2</v>
      </c>
      <c r="BI35" s="149">
        <f t="shared" si="17"/>
        <v>0.2</v>
      </c>
      <c r="BJ35" s="149">
        <f t="shared" si="18"/>
        <v>8.6249999999999993E-2</v>
      </c>
      <c r="BK35" s="149">
        <f t="shared" si="19"/>
        <v>0.37142857142857144</v>
      </c>
      <c r="BL35" s="149">
        <f t="shared" si="20"/>
        <v>8.7999999999999995E-2</v>
      </c>
      <c r="BM35" s="149">
        <f t="shared" si="21"/>
        <v>8.5714285714285715E-2</v>
      </c>
      <c r="BN35" s="149">
        <f t="shared" si="22"/>
        <v>0.12</v>
      </c>
      <c r="BO35" s="150">
        <f t="shared" si="23"/>
        <v>83.521428571428572</v>
      </c>
      <c r="BP35" s="150">
        <f t="shared" si="24"/>
        <v>0.2</v>
      </c>
      <c r="BQ35" s="150">
        <f t="shared" si="25"/>
        <v>1</v>
      </c>
      <c r="BR35" s="150">
        <f t="shared" si="26"/>
        <v>0.26538461538461539</v>
      </c>
      <c r="BS35" s="150">
        <v>8.7084166666666647</v>
      </c>
      <c r="BT35" s="150">
        <v>8.2937301587301562</v>
      </c>
    </row>
    <row r="36" spans="1:72" x14ac:dyDescent="0.3">
      <c r="A36" s="113">
        <v>2</v>
      </c>
      <c r="B36" s="114">
        <v>820</v>
      </c>
      <c r="C36" s="115" t="s">
        <v>149</v>
      </c>
      <c r="D36" s="134" t="s">
        <v>150</v>
      </c>
      <c r="E36" s="268"/>
      <c r="F36" s="117">
        <v>202</v>
      </c>
      <c r="G36" s="118">
        <v>13.4</v>
      </c>
      <c r="H36" s="118">
        <v>3.6</v>
      </c>
      <c r="I36" s="118">
        <v>3.7</v>
      </c>
      <c r="J36" s="118">
        <v>4.7</v>
      </c>
      <c r="K36" s="118">
        <v>0.2</v>
      </c>
      <c r="L36" s="118">
        <v>0.3</v>
      </c>
      <c r="M36" s="118">
        <v>20.3</v>
      </c>
      <c r="N36" s="118">
        <v>0.2</v>
      </c>
      <c r="O36" s="118">
        <v>64.3</v>
      </c>
      <c r="P36" s="119">
        <v>45</v>
      </c>
      <c r="Q36" s="119">
        <v>28</v>
      </c>
      <c r="R36" s="118">
        <v>2.4</v>
      </c>
      <c r="S36" s="118">
        <v>1.3</v>
      </c>
      <c r="T36" s="118">
        <v>0.13</v>
      </c>
      <c r="U36" s="118">
        <v>0.23</v>
      </c>
      <c r="V36" s="118">
        <v>9</v>
      </c>
      <c r="W36" s="118">
        <v>13</v>
      </c>
      <c r="X36" s="119">
        <v>228</v>
      </c>
      <c r="Y36" s="118">
        <v>1</v>
      </c>
      <c r="Z36" s="118">
        <v>14</v>
      </c>
      <c r="AA36" s="118">
        <v>14</v>
      </c>
      <c r="AB36" s="118">
        <v>1.4</v>
      </c>
      <c r="AC36" s="119">
        <v>78</v>
      </c>
      <c r="AD36" s="119">
        <v>360</v>
      </c>
      <c r="AE36" s="117">
        <v>39</v>
      </c>
      <c r="AF36" s="117">
        <v>280</v>
      </c>
      <c r="AG36" s="117">
        <v>37</v>
      </c>
      <c r="AH36" s="120">
        <v>1.1000000000000001</v>
      </c>
      <c r="AI36" s="121">
        <v>2.2000000000000002</v>
      </c>
      <c r="AJ36" s="246"/>
      <c r="AK36" s="122">
        <v>1.8</v>
      </c>
      <c r="AL36" s="123">
        <v>2.8</v>
      </c>
      <c r="AM36" s="151" t="s">
        <v>78</v>
      </c>
      <c r="AN36" s="246"/>
      <c r="AO36" s="125">
        <f t="shared" si="0"/>
        <v>120.60000000000001</v>
      </c>
      <c r="AP36" s="131">
        <f t="shared" si="5"/>
        <v>0.78723404255319152</v>
      </c>
      <c r="AQ36" s="131">
        <f t="shared" si="6"/>
        <v>0.76595744680851063</v>
      </c>
      <c r="AR36" s="131">
        <f t="shared" si="33"/>
        <v>0.97297297297297292</v>
      </c>
      <c r="AS36" s="131">
        <f t="shared" si="34"/>
        <v>1.3055555555555556</v>
      </c>
      <c r="AT36" s="127">
        <f t="shared" si="1"/>
        <v>81.2</v>
      </c>
      <c r="AU36" s="128">
        <f t="shared" si="2"/>
        <v>0.40237859266600595</v>
      </c>
      <c r="AV36" s="129">
        <f t="shared" si="3"/>
        <v>4.5999999999999996</v>
      </c>
      <c r="AW36" s="130">
        <f t="shared" si="27"/>
        <v>18.399999999999999</v>
      </c>
      <c r="AX36" s="131">
        <f t="shared" si="35"/>
        <v>0.6428571428571429</v>
      </c>
      <c r="AY36" s="132">
        <f t="shared" si="7"/>
        <v>3.5000000000000003E-2</v>
      </c>
      <c r="AZ36" s="132">
        <f t="shared" si="8"/>
        <v>0.48</v>
      </c>
      <c r="BA36" s="132">
        <f t="shared" si="9"/>
        <v>0.10833333333333334</v>
      </c>
      <c r="BB36" s="132">
        <f t="shared" si="10"/>
        <v>0.11818181818181818</v>
      </c>
      <c r="BC36" s="132">
        <f t="shared" si="11"/>
        <v>0.16428571428571431</v>
      </c>
      <c r="BD36" s="132">
        <f t="shared" si="12"/>
        <v>0.5625</v>
      </c>
      <c r="BE36" s="132">
        <f t="shared" si="13"/>
        <v>0.7142857142857143</v>
      </c>
      <c r="BF36" s="132">
        <f t="shared" si="14"/>
        <v>5.6</v>
      </c>
      <c r="BG36" s="132">
        <f t="shared" si="15"/>
        <v>7.0000000000000007E-2</v>
      </c>
      <c r="BH36" s="132">
        <f t="shared" si="16"/>
        <v>3.2500000000000001E-2</v>
      </c>
      <c r="BI36" s="132">
        <f t="shared" si="17"/>
        <v>0.18</v>
      </c>
      <c r="BJ36" s="132">
        <f t="shared" si="18"/>
        <v>4.8750000000000002E-2</v>
      </c>
      <c r="BK36" s="132">
        <f t="shared" si="19"/>
        <v>0.4</v>
      </c>
      <c r="BL36" s="132">
        <f t="shared" si="20"/>
        <v>9.8666666666666666E-2</v>
      </c>
      <c r="BM36" s="132">
        <f t="shared" si="21"/>
        <v>7.8571428571428584E-2</v>
      </c>
      <c r="BN36" s="132">
        <f t="shared" si="22"/>
        <v>0.22000000000000003</v>
      </c>
      <c r="BO36" s="133">
        <f t="shared" si="23"/>
        <v>74.282142857142858</v>
      </c>
      <c r="BP36" s="133">
        <f t="shared" si="24"/>
        <v>0.21666666666666667</v>
      </c>
      <c r="BQ36" s="133">
        <f t="shared" si="25"/>
        <v>0.5</v>
      </c>
      <c r="BR36" s="133">
        <f t="shared" si="26"/>
        <v>0.13928571428571429</v>
      </c>
      <c r="BS36" s="133">
        <v>25.60830952380952</v>
      </c>
      <c r="BT36" s="133">
        <v>12.67738095238095</v>
      </c>
    </row>
    <row r="37" spans="1:72" x14ac:dyDescent="0.3">
      <c r="A37" s="113">
        <v>2</v>
      </c>
      <c r="B37" s="114">
        <v>823</v>
      </c>
      <c r="C37" s="115" t="s">
        <v>151</v>
      </c>
      <c r="D37" s="134" t="s">
        <v>152</v>
      </c>
      <c r="E37" s="268"/>
      <c r="F37" s="135">
        <v>105</v>
      </c>
      <c r="G37" s="136">
        <v>2.9</v>
      </c>
      <c r="H37" s="136">
        <v>0.7</v>
      </c>
      <c r="I37" s="136">
        <v>0.8</v>
      </c>
      <c r="J37" s="136">
        <v>0.9</v>
      </c>
      <c r="K37" s="136">
        <v>0</v>
      </c>
      <c r="L37" s="136">
        <v>0</v>
      </c>
      <c r="M37" s="136">
        <v>19.7</v>
      </c>
      <c r="N37" s="136">
        <v>0.2</v>
      </c>
      <c r="O37" s="136">
        <v>75.599999999999994</v>
      </c>
      <c r="P37" s="137">
        <v>36</v>
      </c>
      <c r="Q37" s="137">
        <v>15</v>
      </c>
      <c r="R37" s="136">
        <v>4.0999999999999996</v>
      </c>
      <c r="S37" s="136">
        <v>0.37</v>
      </c>
      <c r="T37" s="136">
        <v>0.15</v>
      </c>
      <c r="U37" s="136">
        <v>0.15</v>
      </c>
      <c r="V37" s="136">
        <v>5</v>
      </c>
      <c r="W37" s="136">
        <v>8.6999999999999993</v>
      </c>
      <c r="X37" s="137">
        <v>222</v>
      </c>
      <c r="Y37" s="136">
        <v>0.36</v>
      </c>
      <c r="Z37" s="136">
        <v>5.7</v>
      </c>
      <c r="AA37" s="136">
        <v>15</v>
      </c>
      <c r="AB37" s="136">
        <v>1.4</v>
      </c>
      <c r="AC37" s="137">
        <v>80</v>
      </c>
      <c r="AD37" s="137">
        <v>400</v>
      </c>
      <c r="AE37" s="135">
        <v>69</v>
      </c>
      <c r="AF37" s="135">
        <v>260</v>
      </c>
      <c r="AG37" s="135">
        <v>33</v>
      </c>
      <c r="AH37" s="138">
        <v>1.2</v>
      </c>
      <c r="AI37" s="139">
        <v>1.2</v>
      </c>
      <c r="AJ37" s="246"/>
      <c r="AK37" s="140">
        <v>0.50900000000000001</v>
      </c>
      <c r="AL37" s="141">
        <v>0.93200000000000005</v>
      </c>
      <c r="AM37" s="142" t="s">
        <v>153</v>
      </c>
      <c r="AN37" s="246"/>
      <c r="AO37" s="143">
        <f t="shared" si="0"/>
        <v>26.099999999999998</v>
      </c>
      <c r="AP37" s="144">
        <v>0</v>
      </c>
      <c r="AQ37" s="144">
        <f t="shared" si="6"/>
        <v>0.77777777777777768</v>
      </c>
      <c r="AR37" s="144">
        <f t="shared" si="33"/>
        <v>0.87499999999999989</v>
      </c>
      <c r="AS37" s="144">
        <f t="shared" si="34"/>
        <v>1.2857142857142858</v>
      </c>
      <c r="AT37" s="145">
        <f t="shared" si="1"/>
        <v>78.8</v>
      </c>
      <c r="AU37" s="146">
        <f t="shared" si="2"/>
        <v>0.75119161105815069</v>
      </c>
      <c r="AV37" s="147">
        <f t="shared" si="3"/>
        <v>1.4410000000000001</v>
      </c>
      <c r="AW37" s="148">
        <f t="shared" si="27"/>
        <v>5.7640000000000002</v>
      </c>
      <c r="AX37" s="144">
        <f t="shared" si="35"/>
        <v>0.54613733905579398</v>
      </c>
      <c r="AY37" s="149">
        <f t="shared" si="7"/>
        <v>1.8749999999999999E-2</v>
      </c>
      <c r="AZ37" s="149">
        <f t="shared" si="8"/>
        <v>0.82</v>
      </c>
      <c r="BA37" s="149">
        <f t="shared" si="9"/>
        <v>3.0833333333333334E-2</v>
      </c>
      <c r="BB37" s="149">
        <f t="shared" si="10"/>
        <v>0.13636363636363635</v>
      </c>
      <c r="BC37" s="149">
        <f t="shared" si="11"/>
        <v>0.10714285714285715</v>
      </c>
      <c r="BD37" s="149">
        <f t="shared" si="12"/>
        <v>0.3125</v>
      </c>
      <c r="BE37" s="149">
        <f t="shared" si="13"/>
        <v>0.25714285714285717</v>
      </c>
      <c r="BF37" s="149">
        <f t="shared" si="14"/>
        <v>2.2800000000000002</v>
      </c>
      <c r="BG37" s="149">
        <f t="shared" si="15"/>
        <v>7.4999999999999997E-2</v>
      </c>
      <c r="BH37" s="149">
        <f t="shared" si="16"/>
        <v>3.3333333333333333E-2</v>
      </c>
      <c r="BI37" s="149">
        <f t="shared" si="17"/>
        <v>0.2</v>
      </c>
      <c r="BJ37" s="149">
        <f t="shared" si="18"/>
        <v>8.6249999999999993E-2</v>
      </c>
      <c r="BK37" s="149">
        <f t="shared" si="19"/>
        <v>0.37142857142857144</v>
      </c>
      <c r="BL37" s="149">
        <f t="shared" si="20"/>
        <v>8.7999999999999995E-2</v>
      </c>
      <c r="BM37" s="149">
        <f t="shared" si="21"/>
        <v>8.5714285714285715E-2</v>
      </c>
      <c r="BN37" s="149">
        <f t="shared" si="22"/>
        <v>0.12</v>
      </c>
      <c r="BO37" s="150">
        <f t="shared" si="23"/>
        <v>83.521428571428572</v>
      </c>
      <c r="BP37" s="150">
        <f t="shared" si="24"/>
        <v>0.2</v>
      </c>
      <c r="BQ37" s="150">
        <f t="shared" si="25"/>
        <v>1</v>
      </c>
      <c r="BR37" s="150">
        <f t="shared" si="26"/>
        <v>0.26538461538461539</v>
      </c>
      <c r="BS37" s="150">
        <v>9.5524166666666659</v>
      </c>
      <c r="BT37" s="150">
        <v>9.097539682539681</v>
      </c>
    </row>
    <row r="38" spans="1:72" x14ac:dyDescent="0.3">
      <c r="A38" s="113">
        <v>2</v>
      </c>
      <c r="B38" s="114">
        <v>879</v>
      </c>
      <c r="C38" s="115" t="s">
        <v>154</v>
      </c>
      <c r="D38" s="134" t="s">
        <v>155</v>
      </c>
      <c r="E38" s="268"/>
      <c r="F38" s="117">
        <v>181</v>
      </c>
      <c r="G38" s="118">
        <v>11.7</v>
      </c>
      <c r="H38" s="118">
        <v>3.1</v>
      </c>
      <c r="I38" s="118">
        <v>3.8</v>
      </c>
      <c r="J38" s="118">
        <v>3.5</v>
      </c>
      <c r="K38" s="118">
        <v>0.2</v>
      </c>
      <c r="L38" s="118">
        <v>0.3</v>
      </c>
      <c r="M38" s="118">
        <v>19</v>
      </c>
      <c r="N38" s="118">
        <v>0.2</v>
      </c>
      <c r="O38" s="118">
        <v>67.099999999999994</v>
      </c>
      <c r="P38" s="119">
        <v>45</v>
      </c>
      <c r="Q38" s="119">
        <v>64</v>
      </c>
      <c r="R38" s="118">
        <v>9.3000000000000007</v>
      </c>
      <c r="S38" s="118">
        <v>1.5</v>
      </c>
      <c r="T38" s="118">
        <v>0.11</v>
      </c>
      <c r="U38" s="118">
        <v>0.19</v>
      </c>
      <c r="V38" s="118">
        <v>5.8</v>
      </c>
      <c r="W38" s="118">
        <v>9.3000000000000007</v>
      </c>
      <c r="X38" s="119">
        <v>210</v>
      </c>
      <c r="Y38" s="118">
        <v>0.43</v>
      </c>
      <c r="Z38" s="118">
        <v>8.4</v>
      </c>
      <c r="AA38" s="118">
        <v>15</v>
      </c>
      <c r="AB38" s="118">
        <v>1.3</v>
      </c>
      <c r="AC38" s="119">
        <v>76</v>
      </c>
      <c r="AD38" s="119">
        <v>370</v>
      </c>
      <c r="AE38" s="117">
        <v>56</v>
      </c>
      <c r="AF38" s="117">
        <v>270</v>
      </c>
      <c r="AG38" s="117">
        <v>30</v>
      </c>
      <c r="AH38" s="120">
        <v>0.1</v>
      </c>
      <c r="AI38" s="121">
        <v>2.7</v>
      </c>
      <c r="AJ38" s="246"/>
      <c r="AK38" s="122">
        <f xml:space="preserve"> 4*0.07</f>
        <v>0.28000000000000003</v>
      </c>
      <c r="AL38" s="123">
        <f xml:space="preserve"> 4* 0.198</f>
        <v>0.79200000000000004</v>
      </c>
      <c r="AM38" s="152" t="s">
        <v>156</v>
      </c>
      <c r="AN38" s="246"/>
      <c r="AO38" s="125">
        <f t="shared" si="0"/>
        <v>105.3</v>
      </c>
      <c r="AP38" s="131">
        <f>I38/J38</f>
        <v>1.0857142857142856</v>
      </c>
      <c r="AQ38" s="131">
        <f t="shared" si="6"/>
        <v>0.88571428571428579</v>
      </c>
      <c r="AR38" s="131">
        <f t="shared" si="33"/>
        <v>0.81578947368421062</v>
      </c>
      <c r="AS38" s="131">
        <f t="shared" si="34"/>
        <v>1.129032258064516</v>
      </c>
      <c r="AT38" s="127">
        <f t="shared" si="1"/>
        <v>76</v>
      </c>
      <c r="AU38" s="128">
        <f t="shared" si="2"/>
        <v>0.41919470490899058</v>
      </c>
      <c r="AV38" s="129">
        <f t="shared" si="3"/>
        <v>1.0720000000000001</v>
      </c>
      <c r="AW38" s="130">
        <f t="shared" si="27"/>
        <v>4.2880000000000003</v>
      </c>
      <c r="AX38" s="131">
        <f t="shared" si="35"/>
        <v>0.35353535353535354</v>
      </c>
      <c r="AY38" s="132">
        <f t="shared" si="7"/>
        <v>0.08</v>
      </c>
      <c r="AZ38" s="132">
        <f t="shared" si="8"/>
        <v>1.86</v>
      </c>
      <c r="BA38" s="132">
        <f t="shared" si="9"/>
        <v>0.125</v>
      </c>
      <c r="BB38" s="132">
        <f t="shared" si="10"/>
        <v>9.9999999999999992E-2</v>
      </c>
      <c r="BC38" s="132">
        <f t="shared" si="11"/>
        <v>0.13571428571428573</v>
      </c>
      <c r="BD38" s="132">
        <f t="shared" si="12"/>
        <v>0.36249999999999999</v>
      </c>
      <c r="BE38" s="132">
        <f t="shared" si="13"/>
        <v>0.30714285714285716</v>
      </c>
      <c r="BF38" s="132">
        <f t="shared" si="14"/>
        <v>3.3600000000000003</v>
      </c>
      <c r="BG38" s="132">
        <f t="shared" si="15"/>
        <v>7.4999999999999997E-2</v>
      </c>
      <c r="BH38" s="132">
        <f t="shared" si="16"/>
        <v>3.1666666666666669E-2</v>
      </c>
      <c r="BI38" s="132">
        <f t="shared" si="17"/>
        <v>0.185</v>
      </c>
      <c r="BJ38" s="132">
        <f t="shared" si="18"/>
        <v>7.0000000000000007E-2</v>
      </c>
      <c r="BK38" s="132">
        <f t="shared" si="19"/>
        <v>0.38571428571428573</v>
      </c>
      <c r="BL38" s="132">
        <f t="shared" si="20"/>
        <v>0.08</v>
      </c>
      <c r="BM38" s="132">
        <f t="shared" si="21"/>
        <v>7.1428571428571435E-3</v>
      </c>
      <c r="BN38" s="132">
        <f t="shared" si="22"/>
        <v>0.27</v>
      </c>
      <c r="BO38" s="133">
        <f t="shared" si="23"/>
        <v>74.047619047619037</v>
      </c>
      <c r="BP38" s="133">
        <f t="shared" si="24"/>
        <v>0.20540540540540542</v>
      </c>
      <c r="BQ38" s="133">
        <f t="shared" si="25"/>
        <v>3.7037037037037035E-2</v>
      </c>
      <c r="BR38" s="133">
        <f t="shared" si="26"/>
        <v>0.2074074074074074</v>
      </c>
      <c r="BS38" s="133">
        <v>10.236333333333336</v>
      </c>
      <c r="BT38" s="133">
        <v>5.6554327808471472</v>
      </c>
    </row>
    <row r="39" spans="1:72" x14ac:dyDescent="0.3">
      <c r="A39" s="113">
        <v>2</v>
      </c>
      <c r="B39" s="114">
        <v>882</v>
      </c>
      <c r="C39" s="115" t="s">
        <v>157</v>
      </c>
      <c r="D39" s="134" t="s">
        <v>158</v>
      </c>
      <c r="E39" s="268"/>
      <c r="F39" s="135">
        <v>221</v>
      </c>
      <c r="G39" s="136">
        <v>16.399999999999999</v>
      </c>
      <c r="H39" s="136">
        <v>4.7</v>
      </c>
      <c r="I39" s="136">
        <v>4</v>
      </c>
      <c r="J39" s="136">
        <v>5.6</v>
      </c>
      <c r="K39" s="136">
        <v>0.5</v>
      </c>
      <c r="L39" s="136">
        <v>0.5</v>
      </c>
      <c r="M39" s="136">
        <v>18.399999999999999</v>
      </c>
      <c r="N39" s="136">
        <v>0.2</v>
      </c>
      <c r="O39" s="136">
        <v>63.4</v>
      </c>
      <c r="P39" s="137">
        <v>20</v>
      </c>
      <c r="Q39" s="137">
        <v>47</v>
      </c>
      <c r="R39" s="136">
        <v>21</v>
      </c>
      <c r="S39" s="136">
        <v>0.66</v>
      </c>
      <c r="T39" s="136">
        <v>0.01</v>
      </c>
      <c r="U39" s="136">
        <v>0.08</v>
      </c>
      <c r="V39" s="136">
        <v>4.4000000000000004</v>
      </c>
      <c r="W39" s="136">
        <v>7.8</v>
      </c>
      <c r="X39" s="137">
        <v>204</v>
      </c>
      <c r="Y39" s="136">
        <v>0.56999999999999995</v>
      </c>
      <c r="Z39" s="136">
        <v>10</v>
      </c>
      <c r="AA39" s="136">
        <v>15</v>
      </c>
      <c r="AB39" s="136">
        <v>1.7</v>
      </c>
      <c r="AC39" s="137">
        <v>65</v>
      </c>
      <c r="AD39" s="137">
        <v>370</v>
      </c>
      <c r="AE39" s="135">
        <v>72</v>
      </c>
      <c r="AF39" s="135">
        <v>310</v>
      </c>
      <c r="AG39" s="135">
        <v>31</v>
      </c>
      <c r="AH39" s="138">
        <v>1</v>
      </c>
      <c r="AI39" s="139">
        <v>1.6</v>
      </c>
      <c r="AJ39" s="246"/>
      <c r="AK39" s="140">
        <v>2.0299999999999998</v>
      </c>
      <c r="AL39" s="141">
        <v>2.52</v>
      </c>
      <c r="AM39" s="153" t="s">
        <v>159</v>
      </c>
      <c r="AN39" s="246"/>
      <c r="AO39" s="143">
        <f t="shared" si="0"/>
        <v>147.6</v>
      </c>
      <c r="AP39" s="144">
        <f>I39/J39</f>
        <v>0.7142857142857143</v>
      </c>
      <c r="AQ39" s="144">
        <f t="shared" si="6"/>
        <v>0.83928571428571441</v>
      </c>
      <c r="AR39" s="144">
        <f t="shared" si="33"/>
        <v>1.175</v>
      </c>
      <c r="AS39" s="144">
        <f t="shared" si="34"/>
        <v>1.1914893617021276</v>
      </c>
      <c r="AT39" s="145">
        <f t="shared" si="1"/>
        <v>73.599999999999994</v>
      </c>
      <c r="AU39" s="146">
        <f t="shared" si="2"/>
        <v>0.33273056057866185</v>
      </c>
      <c r="AV39" s="147">
        <f t="shared" si="3"/>
        <v>4.55</v>
      </c>
      <c r="AW39" s="148">
        <f t="shared" si="27"/>
        <v>18.2</v>
      </c>
      <c r="AX39" s="144">
        <f t="shared" si="35"/>
        <v>0.80555555555555547</v>
      </c>
      <c r="AY39" s="149">
        <f t="shared" si="7"/>
        <v>5.8749999999999997E-2</v>
      </c>
      <c r="AZ39" s="149">
        <f t="shared" si="8"/>
        <v>4.2</v>
      </c>
      <c r="BA39" s="149">
        <f t="shared" si="9"/>
        <v>5.5E-2</v>
      </c>
      <c r="BB39" s="149">
        <f t="shared" si="10"/>
        <v>9.0909090909090905E-3</v>
      </c>
      <c r="BC39" s="149">
        <f t="shared" si="11"/>
        <v>5.7142857142857148E-2</v>
      </c>
      <c r="BD39" s="149">
        <f t="shared" si="12"/>
        <v>0.27500000000000002</v>
      </c>
      <c r="BE39" s="149">
        <f t="shared" si="13"/>
        <v>0.40714285714285714</v>
      </c>
      <c r="BF39" s="149">
        <f t="shared" si="14"/>
        <v>4</v>
      </c>
      <c r="BG39" s="149">
        <f t="shared" si="15"/>
        <v>7.4999999999999997E-2</v>
      </c>
      <c r="BH39" s="149">
        <f t="shared" si="16"/>
        <v>2.7083333333333334E-2</v>
      </c>
      <c r="BI39" s="149">
        <f t="shared" si="17"/>
        <v>0.185</v>
      </c>
      <c r="BJ39" s="149">
        <f t="shared" si="18"/>
        <v>0.09</v>
      </c>
      <c r="BK39" s="149">
        <f t="shared" si="19"/>
        <v>0.44285714285714284</v>
      </c>
      <c r="BL39" s="149">
        <f t="shared" si="20"/>
        <v>8.2666666666666666E-2</v>
      </c>
      <c r="BM39" s="149">
        <f t="shared" si="21"/>
        <v>7.1428571428571425E-2</v>
      </c>
      <c r="BN39" s="149">
        <f t="shared" si="22"/>
        <v>0.16</v>
      </c>
      <c r="BO39" s="150">
        <f t="shared" si="23"/>
        <v>64.876190476190473</v>
      </c>
      <c r="BP39" s="150">
        <f t="shared" si="24"/>
        <v>0.17567567567567569</v>
      </c>
      <c r="BQ39" s="150">
        <f t="shared" si="25"/>
        <v>0.625</v>
      </c>
      <c r="BR39" s="150">
        <f t="shared" si="26"/>
        <v>0.23225806451612904</v>
      </c>
      <c r="BS39" s="150">
        <v>27.093380952380954</v>
      </c>
      <c r="BT39" s="150">
        <v>12.259448394742513</v>
      </c>
    </row>
    <row r="40" spans="1:72" x14ac:dyDescent="0.3">
      <c r="A40" s="113">
        <v>2</v>
      </c>
      <c r="B40" s="114">
        <v>885</v>
      </c>
      <c r="C40" s="115" t="s">
        <v>160</v>
      </c>
      <c r="D40" s="134" t="s">
        <v>158</v>
      </c>
      <c r="E40" s="268"/>
      <c r="F40" s="117">
        <v>158</v>
      </c>
      <c r="G40" s="118">
        <v>9.1</v>
      </c>
      <c r="H40" s="118">
        <v>2.5</v>
      </c>
      <c r="I40" s="118">
        <v>2.2000000000000002</v>
      </c>
      <c r="J40" s="118">
        <v>3.3</v>
      </c>
      <c r="K40" s="118">
        <v>0.2</v>
      </c>
      <c r="L40" s="118">
        <v>0.3</v>
      </c>
      <c r="M40" s="118">
        <v>18.899999999999999</v>
      </c>
      <c r="N40" s="118">
        <v>0.2</v>
      </c>
      <c r="O40" s="118">
        <v>68.900000000000006</v>
      </c>
      <c r="P40" s="119">
        <v>28</v>
      </c>
      <c r="Q40" s="119">
        <v>12</v>
      </c>
      <c r="R40" s="118">
        <v>17</v>
      </c>
      <c r="S40" s="118">
        <v>0.25</v>
      </c>
      <c r="T40" s="118">
        <v>0.01</v>
      </c>
      <c r="U40" s="118">
        <v>0.14000000000000001</v>
      </c>
      <c r="V40" s="118">
        <v>6.2</v>
      </c>
      <c r="W40" s="118">
        <v>9.6999999999999993</v>
      </c>
      <c r="X40" s="119">
        <v>210</v>
      </c>
      <c r="Y40" s="118">
        <v>0.41</v>
      </c>
      <c r="Z40" s="118">
        <v>10</v>
      </c>
      <c r="AA40" s="118">
        <v>24</v>
      </c>
      <c r="AB40" s="118">
        <v>1.6</v>
      </c>
      <c r="AC40" s="119">
        <v>65</v>
      </c>
      <c r="AD40" s="119">
        <v>400</v>
      </c>
      <c r="AE40" s="117">
        <v>70</v>
      </c>
      <c r="AF40" s="117">
        <v>300</v>
      </c>
      <c r="AG40" s="117">
        <v>29</v>
      </c>
      <c r="AH40" s="120">
        <v>1.7</v>
      </c>
      <c r="AI40" s="121">
        <v>1.7</v>
      </c>
      <c r="AJ40" s="246"/>
      <c r="AK40" s="122">
        <v>2.0299999999999998</v>
      </c>
      <c r="AL40" s="123">
        <v>2.52</v>
      </c>
      <c r="AM40" s="152" t="s">
        <v>159</v>
      </c>
      <c r="AN40" s="246"/>
      <c r="AO40" s="125">
        <f t="shared" si="0"/>
        <v>81.899999999999991</v>
      </c>
      <c r="AP40" s="131">
        <f>I40/J40</f>
        <v>0.66666666666666674</v>
      </c>
      <c r="AQ40" s="131">
        <f t="shared" si="6"/>
        <v>0.75757575757575757</v>
      </c>
      <c r="AR40" s="131">
        <f t="shared" si="33"/>
        <v>1.1363636363636362</v>
      </c>
      <c r="AS40" s="131">
        <f t="shared" si="34"/>
        <v>1.3199999999999998</v>
      </c>
      <c r="AT40" s="127">
        <f t="shared" si="1"/>
        <v>75.599999999999994</v>
      </c>
      <c r="AU40" s="128">
        <f t="shared" si="2"/>
        <v>0.48</v>
      </c>
      <c r="AV40" s="129">
        <f t="shared" si="3"/>
        <v>4.55</v>
      </c>
      <c r="AW40" s="130">
        <f t="shared" si="27"/>
        <v>18.2</v>
      </c>
      <c r="AX40" s="131">
        <f t="shared" si="35"/>
        <v>0.80555555555555547</v>
      </c>
      <c r="AY40" s="132">
        <f t="shared" si="7"/>
        <v>1.4999999999999999E-2</v>
      </c>
      <c r="AZ40" s="132">
        <f t="shared" si="8"/>
        <v>3.4</v>
      </c>
      <c r="BA40" s="132">
        <f t="shared" si="9"/>
        <v>2.0833333333333332E-2</v>
      </c>
      <c r="BB40" s="132">
        <f t="shared" si="10"/>
        <v>9.0909090909090905E-3</v>
      </c>
      <c r="BC40" s="132">
        <f t="shared" si="11"/>
        <v>0.10000000000000002</v>
      </c>
      <c r="BD40" s="132">
        <f t="shared" si="12"/>
        <v>0.38750000000000001</v>
      </c>
      <c r="BE40" s="132">
        <f t="shared" si="13"/>
        <v>0.29285714285714287</v>
      </c>
      <c r="BF40" s="132">
        <f t="shared" si="14"/>
        <v>4</v>
      </c>
      <c r="BG40" s="132">
        <f t="shared" si="15"/>
        <v>0.12</v>
      </c>
      <c r="BH40" s="132">
        <f t="shared" si="16"/>
        <v>2.7083333333333334E-2</v>
      </c>
      <c r="BI40" s="132">
        <f t="shared" si="17"/>
        <v>0.2</v>
      </c>
      <c r="BJ40" s="132">
        <f t="shared" si="18"/>
        <v>8.7499999999999994E-2</v>
      </c>
      <c r="BK40" s="132">
        <f t="shared" si="19"/>
        <v>0.42857142857142855</v>
      </c>
      <c r="BL40" s="132">
        <f t="shared" si="20"/>
        <v>7.7333333333333337E-2</v>
      </c>
      <c r="BM40" s="132">
        <f t="shared" si="21"/>
        <v>0.12142857142857143</v>
      </c>
      <c r="BN40" s="132">
        <f t="shared" si="22"/>
        <v>0.16999999999999998</v>
      </c>
      <c r="BO40" s="133">
        <f t="shared" si="23"/>
        <v>74.80119047619047</v>
      </c>
      <c r="BP40" s="133">
        <f t="shared" si="24"/>
        <v>0.16250000000000001</v>
      </c>
      <c r="BQ40" s="133">
        <f t="shared" si="25"/>
        <v>1</v>
      </c>
      <c r="BR40" s="133">
        <f t="shared" si="26"/>
        <v>0.23333333333333334</v>
      </c>
      <c r="BS40" s="133">
        <v>26.33120238095238</v>
      </c>
      <c r="BT40" s="133">
        <v>16.665317962628091</v>
      </c>
    </row>
    <row r="41" spans="1:72" ht="15" thickBot="1" x14ac:dyDescent="0.35">
      <c r="A41" s="154">
        <v>2</v>
      </c>
      <c r="B41" s="155">
        <v>876</v>
      </c>
      <c r="C41" s="156" t="s">
        <v>161</v>
      </c>
      <c r="D41" s="157" t="s">
        <v>162</v>
      </c>
      <c r="E41" s="268"/>
      <c r="F41" s="158">
        <v>262</v>
      </c>
      <c r="G41" s="159">
        <v>21.9</v>
      </c>
      <c r="H41" s="159">
        <v>4.2</v>
      </c>
      <c r="I41" s="159">
        <v>10</v>
      </c>
      <c r="J41" s="159">
        <v>5.0999999999999996</v>
      </c>
      <c r="K41" s="159">
        <v>0.7</v>
      </c>
      <c r="L41" s="159">
        <v>0</v>
      </c>
      <c r="M41" s="159">
        <v>16.2</v>
      </c>
      <c r="N41" s="159">
        <v>0.1</v>
      </c>
      <c r="O41" s="159">
        <v>60.5</v>
      </c>
      <c r="P41" s="160">
        <v>40</v>
      </c>
      <c r="Q41" s="160">
        <v>33</v>
      </c>
      <c r="R41" s="159">
        <v>11</v>
      </c>
      <c r="S41" s="159">
        <v>4</v>
      </c>
      <c r="T41" s="159">
        <v>0.18</v>
      </c>
      <c r="U41" s="159">
        <v>0.04</v>
      </c>
      <c r="V41" s="159">
        <v>3.6</v>
      </c>
      <c r="W41" s="159">
        <v>6.6</v>
      </c>
      <c r="X41" s="160">
        <v>180</v>
      </c>
      <c r="Y41" s="159">
        <v>0.45</v>
      </c>
      <c r="Z41" s="159">
        <v>1.9</v>
      </c>
      <c r="AA41" s="159">
        <v>10</v>
      </c>
      <c r="AB41" s="159">
        <v>1.3</v>
      </c>
      <c r="AC41" s="160">
        <v>38</v>
      </c>
      <c r="AD41" s="160">
        <v>300</v>
      </c>
      <c r="AE41" s="158">
        <v>12</v>
      </c>
      <c r="AF41" s="158">
        <v>210</v>
      </c>
      <c r="AG41" s="158">
        <v>23</v>
      </c>
      <c r="AH41" s="161">
        <v>0.5</v>
      </c>
      <c r="AI41" s="162">
        <v>0.5</v>
      </c>
      <c r="AJ41" s="246"/>
      <c r="AK41" s="163">
        <v>0.59</v>
      </c>
      <c r="AL41" s="141">
        <v>0.82</v>
      </c>
      <c r="AM41" s="164" t="s">
        <v>75</v>
      </c>
      <c r="AN41" s="246"/>
      <c r="AO41" s="165">
        <f t="shared" si="0"/>
        <v>197.1</v>
      </c>
      <c r="AP41" s="166">
        <f>I41/J41</f>
        <v>1.9607843137254903</v>
      </c>
      <c r="AQ41" s="166">
        <f t="shared" si="6"/>
        <v>0.82352941176470595</v>
      </c>
      <c r="AR41" s="166">
        <f t="shared" si="33"/>
        <v>0.42000000000000004</v>
      </c>
      <c r="AS41" s="166">
        <f t="shared" si="34"/>
        <v>1.2142857142857142</v>
      </c>
      <c r="AT41" s="167">
        <f t="shared" si="1"/>
        <v>64.8</v>
      </c>
      <c r="AU41" s="168">
        <f t="shared" si="2"/>
        <v>0.24742268041237114</v>
      </c>
      <c r="AV41" s="169">
        <f t="shared" si="3"/>
        <v>1.41</v>
      </c>
      <c r="AW41" s="170">
        <f t="shared" si="27"/>
        <v>5.64</v>
      </c>
      <c r="AX41" s="166">
        <f t="shared" si="35"/>
        <v>0.71951219512195119</v>
      </c>
      <c r="AY41" s="171">
        <f t="shared" si="7"/>
        <v>4.1250000000000002E-2</v>
      </c>
      <c r="AZ41" s="171">
        <f t="shared" si="8"/>
        <v>2.2000000000000002</v>
      </c>
      <c r="BA41" s="171">
        <f t="shared" si="9"/>
        <v>0.33333333333333331</v>
      </c>
      <c r="BB41" s="171">
        <f t="shared" si="10"/>
        <v>0.16363636363636361</v>
      </c>
      <c r="BC41" s="171">
        <f t="shared" si="11"/>
        <v>2.8571428571428574E-2</v>
      </c>
      <c r="BD41" s="171">
        <f t="shared" si="12"/>
        <v>0.22500000000000001</v>
      </c>
      <c r="BE41" s="171">
        <f t="shared" si="13"/>
        <v>0.32142857142857145</v>
      </c>
      <c r="BF41" s="171">
        <f t="shared" si="14"/>
        <v>0.76</v>
      </c>
      <c r="BG41" s="171">
        <f t="shared" si="15"/>
        <v>0.05</v>
      </c>
      <c r="BH41" s="171">
        <f t="shared" si="16"/>
        <v>1.5833333333333335E-2</v>
      </c>
      <c r="BI41" s="171">
        <f t="shared" si="17"/>
        <v>0.15</v>
      </c>
      <c r="BJ41" s="171">
        <f t="shared" si="18"/>
        <v>1.4999999999999999E-2</v>
      </c>
      <c r="BK41" s="171">
        <f t="shared" si="19"/>
        <v>0.3</v>
      </c>
      <c r="BL41" s="171">
        <f t="shared" si="20"/>
        <v>6.133333333333333E-2</v>
      </c>
      <c r="BM41" s="171">
        <f t="shared" si="21"/>
        <v>3.5714285714285712E-2</v>
      </c>
      <c r="BN41" s="171">
        <f t="shared" si="22"/>
        <v>0.05</v>
      </c>
      <c r="BO41" s="172">
        <f t="shared" si="23"/>
        <v>73.479761904761915</v>
      </c>
      <c r="BP41" s="172">
        <f t="shared" si="24"/>
        <v>0.12666666666666668</v>
      </c>
      <c r="BQ41" s="172">
        <f t="shared" si="25"/>
        <v>1</v>
      </c>
      <c r="BR41" s="172">
        <f t="shared" si="26"/>
        <v>5.7142857142857141E-2</v>
      </c>
      <c r="BS41" s="172">
        <v>8.9291309523809534</v>
      </c>
      <c r="BT41" s="172">
        <v>3.408065249000364</v>
      </c>
    </row>
    <row r="42" spans="1:72" x14ac:dyDescent="0.3">
      <c r="A42" s="247">
        <v>0</v>
      </c>
      <c r="B42" s="249" t="s">
        <v>163</v>
      </c>
      <c r="C42" s="249"/>
      <c r="D42" s="250"/>
      <c r="E42" s="268"/>
      <c r="F42" s="173">
        <f>AVERAGE(F2:F31)</f>
        <v>89.86666666666666</v>
      </c>
      <c r="G42" s="174">
        <f>AVERAGE(G2:G31)</f>
        <v>1.79</v>
      </c>
      <c r="H42" s="174">
        <f t="shared" ref="H42:AI42" si="36">AVERAGE(H2:H31)</f>
        <v>0.38333333333333325</v>
      </c>
      <c r="I42" s="174">
        <f t="shared" si="36"/>
        <v>0.65666666666666651</v>
      </c>
      <c r="J42" s="174">
        <f t="shared" si="36"/>
        <v>0.37333333333333335</v>
      </c>
      <c r="K42" s="174">
        <f t="shared" si="36"/>
        <v>4.1749999999999995E-2</v>
      </c>
      <c r="L42" s="174">
        <f t="shared" si="36"/>
        <v>0</v>
      </c>
      <c r="M42" s="174">
        <f t="shared" si="36"/>
        <v>18.416666666666664</v>
      </c>
      <c r="N42" s="174">
        <f t="shared" si="36"/>
        <v>0.24666666666666667</v>
      </c>
      <c r="O42" s="174">
        <f t="shared" si="36"/>
        <v>77.966666666666669</v>
      </c>
      <c r="P42" s="175">
        <f t="shared" si="36"/>
        <v>39.4</v>
      </c>
      <c r="Q42" s="175">
        <f t="shared" si="36"/>
        <v>19.8</v>
      </c>
      <c r="R42" s="174">
        <f t="shared" si="36"/>
        <v>7.120000000000001</v>
      </c>
      <c r="S42" s="174">
        <f t="shared" si="36"/>
        <v>0.81666666666666665</v>
      </c>
      <c r="T42" s="174">
        <f t="shared" si="36"/>
        <v>7.2999999999999995E-2</v>
      </c>
      <c r="U42" s="174">
        <f t="shared" si="36"/>
        <v>4.8333333333333353E-2</v>
      </c>
      <c r="V42" s="174">
        <f t="shared" si="36"/>
        <v>2.1463333333333336</v>
      </c>
      <c r="W42" s="174">
        <f t="shared" si="36"/>
        <v>5.5663333333333354</v>
      </c>
      <c r="X42" s="175">
        <f t="shared" si="36"/>
        <v>205</v>
      </c>
      <c r="Y42" s="174">
        <f t="shared" si="36"/>
        <v>0.22366666666666671</v>
      </c>
      <c r="Z42" s="174">
        <f t="shared" si="36"/>
        <v>1.3293333333333333</v>
      </c>
      <c r="AA42" s="174">
        <f t="shared" si="36"/>
        <v>11.903333333333334</v>
      </c>
      <c r="AB42" s="174">
        <f t="shared" si="36"/>
        <v>1.2676666666666667</v>
      </c>
      <c r="AC42" s="175">
        <f t="shared" si="36"/>
        <v>94.733333333333334</v>
      </c>
      <c r="AD42" s="175">
        <f t="shared" si="36"/>
        <v>349</v>
      </c>
      <c r="AE42" s="175">
        <f t="shared" si="36"/>
        <v>28</v>
      </c>
      <c r="AF42" s="175">
        <f t="shared" si="36"/>
        <v>206.66666666666666</v>
      </c>
      <c r="AG42" s="175">
        <f t="shared" si="36"/>
        <v>29.8</v>
      </c>
      <c r="AH42" s="174">
        <f t="shared" si="36"/>
        <v>0.37333333333333335</v>
      </c>
      <c r="AI42" s="176">
        <f t="shared" si="36"/>
        <v>0.6333333333333333</v>
      </c>
      <c r="AJ42" s="246"/>
      <c r="AK42" s="177">
        <f>AVERAGE(AK2:AK31)</f>
        <v>0.1903</v>
      </c>
      <c r="AL42" s="178">
        <f>AVERAGE(AL2:AL31)</f>
        <v>0.35896666666666677</v>
      </c>
      <c r="AM42" s="179"/>
      <c r="AN42" s="246"/>
      <c r="AO42" s="180">
        <f t="shared" ref="AO42:BT42" si="37">AVERAGE(AO2:AO31)</f>
        <v>16.110000000000003</v>
      </c>
      <c r="AP42" s="181">
        <f t="shared" si="37"/>
        <v>1.5711507936507938</v>
      </c>
      <c r="AQ42" s="181">
        <f t="shared" si="37"/>
        <v>0.7906481481481481</v>
      </c>
      <c r="AR42" s="181">
        <f t="shared" si="37"/>
        <v>0.58113441841383018</v>
      </c>
      <c r="AS42" s="181">
        <f t="shared" si="37"/>
        <v>1.0023015873015872</v>
      </c>
      <c r="AT42" s="181">
        <f t="shared" si="37"/>
        <v>73.666666666666657</v>
      </c>
      <c r="AU42" s="181">
        <f t="shared" si="37"/>
        <v>0.84169844052680143</v>
      </c>
      <c r="AV42" s="181">
        <f t="shared" si="37"/>
        <v>0.54926666666666657</v>
      </c>
      <c r="AW42" s="224">
        <f t="shared" si="37"/>
        <v>2.1970666666666663</v>
      </c>
      <c r="AX42" s="181">
        <f t="shared" si="37"/>
        <v>0.54831993653209776</v>
      </c>
      <c r="AY42" s="224">
        <f t="shared" si="37"/>
        <v>2.4749999999999998E-2</v>
      </c>
      <c r="AZ42" s="224">
        <f t="shared" si="37"/>
        <v>1.4239999999999997</v>
      </c>
      <c r="BA42" s="224">
        <f t="shared" si="37"/>
        <v>6.8055555555555564E-2</v>
      </c>
      <c r="BB42" s="224">
        <f t="shared" si="37"/>
        <v>6.6363636363636361E-2</v>
      </c>
      <c r="BC42" s="224">
        <f t="shared" si="37"/>
        <v>3.4523809523809519E-2</v>
      </c>
      <c r="BD42" s="224">
        <f t="shared" si="37"/>
        <v>0.13414583333333335</v>
      </c>
      <c r="BE42" s="224">
        <f t="shared" si="37"/>
        <v>0.15976190476190472</v>
      </c>
      <c r="BF42" s="224">
        <f t="shared" si="37"/>
        <v>0.53173333333333339</v>
      </c>
      <c r="BG42" s="224">
        <f t="shared" si="37"/>
        <v>5.9516666666666683E-2</v>
      </c>
      <c r="BH42" s="224">
        <f t="shared" si="37"/>
        <v>3.9472222222222228E-2</v>
      </c>
      <c r="BI42" s="224">
        <f t="shared" si="37"/>
        <v>0.17450000000000002</v>
      </c>
      <c r="BJ42" s="224">
        <f t="shared" si="37"/>
        <v>3.5000000000000003E-2</v>
      </c>
      <c r="BK42" s="224">
        <f t="shared" si="37"/>
        <v>0.29523809523809519</v>
      </c>
      <c r="BL42" s="224">
        <f t="shared" si="37"/>
        <v>7.9466666666666672E-2</v>
      </c>
      <c r="BM42" s="224">
        <f t="shared" si="37"/>
        <v>2.6666666666666668E-2</v>
      </c>
      <c r="BN42" s="224">
        <f t="shared" si="37"/>
        <v>6.3333333333333366E-2</v>
      </c>
      <c r="BO42" s="181">
        <f t="shared" si="37"/>
        <v>71.813333333333333</v>
      </c>
      <c r="BP42" s="181">
        <f t="shared" si="37"/>
        <v>0.29085336789306032</v>
      </c>
      <c r="BQ42" s="181">
        <f t="shared" si="37"/>
        <v>0.65897065897065887</v>
      </c>
      <c r="BR42" s="181">
        <f t="shared" si="37"/>
        <v>0.13528703319334628</v>
      </c>
      <c r="BS42" s="181">
        <f t="shared" si="37"/>
        <v>4.5258301587301588</v>
      </c>
      <c r="BT42" s="181">
        <f t="shared" si="37"/>
        <v>4.8237546780321408</v>
      </c>
    </row>
    <row r="43" spans="1:72" x14ac:dyDescent="0.3">
      <c r="A43" s="248"/>
      <c r="B43" s="251" t="s">
        <v>164</v>
      </c>
      <c r="C43" s="251"/>
      <c r="D43" s="252"/>
      <c r="E43" s="268"/>
      <c r="F43" s="182" t="str">
        <f>"±" &amp; TEXT(_xlfn.STDEV.P(F2:F31),"0.00")</f>
        <v>±17.30</v>
      </c>
      <c r="G43" s="183" t="str">
        <f>"±" &amp; TEXT(_xlfn.STDEV.P(G2:G31),"0.00")</f>
        <v>±1.68</v>
      </c>
      <c r="H43" s="183" t="str">
        <f t="shared" ref="H43:AI43" si="38">"±" &amp; TEXT(_xlfn.STDEV.P(H2:H31),"0.00")</f>
        <v>±0.44</v>
      </c>
      <c r="I43" s="183" t="str">
        <f t="shared" si="38"/>
        <v>±0.88</v>
      </c>
      <c r="J43" s="183" t="str">
        <f t="shared" si="38"/>
        <v>±0.28</v>
      </c>
      <c r="K43" s="183" t="str">
        <f t="shared" si="38"/>
        <v>±0.09</v>
      </c>
      <c r="L43" s="183" t="str">
        <f t="shared" si="38"/>
        <v>±0.00</v>
      </c>
      <c r="M43" s="183" t="str">
        <f t="shared" si="38"/>
        <v>±1.49</v>
      </c>
      <c r="N43" s="183" t="str">
        <f t="shared" si="38"/>
        <v>±0.10</v>
      </c>
      <c r="O43" s="183" t="str">
        <f t="shared" si="38"/>
        <v>±2.51</v>
      </c>
      <c r="P43" s="231" t="str">
        <f>"±" &amp; TEXT(_xlfn.STDEV.P(P2:P31),"0")</f>
        <v>±15</v>
      </c>
      <c r="Q43" s="183" t="str">
        <f>"±" &amp; TEXT(_xlfn.STDEV.P(Q2:Q31),"0")</f>
        <v>±48</v>
      </c>
      <c r="R43" s="183" t="str">
        <f t="shared" si="38"/>
        <v>±16.38</v>
      </c>
      <c r="S43" s="183" t="str">
        <f t="shared" si="38"/>
        <v>±0.73</v>
      </c>
      <c r="T43" s="183" t="str">
        <f t="shared" si="38"/>
        <v>±0.06</v>
      </c>
      <c r="U43" s="183" t="str">
        <f t="shared" si="38"/>
        <v>±0.03</v>
      </c>
      <c r="V43" s="183" t="str">
        <f t="shared" si="38"/>
        <v>±1.10</v>
      </c>
      <c r="W43" s="183" t="str">
        <f t="shared" si="38"/>
        <v>±1.21</v>
      </c>
      <c r="X43" s="183" t="str">
        <f>"±" &amp; TEXT(_xlfn.STDEV.P(X2:X31),"0")</f>
        <v>±16</v>
      </c>
      <c r="Y43" s="183" t="str">
        <f t="shared" si="38"/>
        <v>±0.14</v>
      </c>
      <c r="Z43" s="183" t="str">
        <f t="shared" si="38"/>
        <v>±1.06</v>
      </c>
      <c r="AA43" s="183" t="str">
        <f t="shared" si="38"/>
        <v>±5.87</v>
      </c>
      <c r="AB43" s="183" t="str">
        <f t="shared" si="38"/>
        <v>±0.19</v>
      </c>
      <c r="AC43" s="235" t="str">
        <f>"±" &amp; TEXT(_xlfn.STDEV.P(AC2:AC31),"0")</f>
        <v>±36</v>
      </c>
      <c r="AD43" s="183" t="str">
        <f t="shared" si="38"/>
        <v>±63.68</v>
      </c>
      <c r="AE43" s="183" t="str">
        <f t="shared" si="38"/>
        <v>±33.70</v>
      </c>
      <c r="AF43" s="183" t="str">
        <f t="shared" si="38"/>
        <v>±42.22</v>
      </c>
      <c r="AG43" s="183" t="str">
        <f t="shared" si="38"/>
        <v>±4.01</v>
      </c>
      <c r="AH43" s="183" t="str">
        <f t="shared" si="38"/>
        <v>±0.17</v>
      </c>
      <c r="AI43" s="184" t="str">
        <f t="shared" si="38"/>
        <v>±0.21</v>
      </c>
      <c r="AJ43" s="246"/>
      <c r="AK43" s="185" t="str">
        <f>"±" &amp; TEXT(_xlfn.STDEV.P(AK2:AK31),"0.00")</f>
        <v>±0.19</v>
      </c>
      <c r="AL43" s="29" t="str">
        <f>"±" &amp; TEXT(_xlfn.STDEV.P(AL2:AL31),"0.00")</f>
        <v>±0.39</v>
      </c>
      <c r="AM43" s="186"/>
      <c r="AN43" s="246"/>
      <c r="AO43" s="187" t="str">
        <f>"±" &amp; TEXT(_xlfn.STDEV.P(AO2:AO31),"0.00")</f>
        <v>±15.10</v>
      </c>
      <c r="AP43" s="32" t="str">
        <f>"±" &amp; TEXT(_xlfn.STDEV.P(AP2:AP31),"0.00")</f>
        <v>±2.65</v>
      </c>
      <c r="AQ43" s="32" t="str">
        <f t="shared" ref="AQ43:BT43" si="39">"±" &amp; TEXT(_xlfn.STDEV.P(AQ2:AQ31),"0.00")</f>
        <v>±0.69</v>
      </c>
      <c r="AR43" s="32" t="str">
        <f t="shared" si="39"/>
        <v>±0.39</v>
      </c>
      <c r="AS43" s="32" t="str">
        <f t="shared" si="39"/>
        <v>±0.80</v>
      </c>
      <c r="AT43" s="32" t="str">
        <f t="shared" si="39"/>
        <v>±5.97</v>
      </c>
      <c r="AU43" s="32" t="str">
        <f t="shared" si="39"/>
        <v>±0.12</v>
      </c>
      <c r="AV43" s="32" t="str">
        <f t="shared" si="39"/>
        <v>±0.57</v>
      </c>
      <c r="AW43" s="32" t="str">
        <f>"±" &amp; TEXT(_xlfn.STDEV.P(AW2:AW31)*100,"0.00") &amp; "%"</f>
        <v>±227.03%</v>
      </c>
      <c r="AX43" s="32" t="str">
        <f t="shared" si="39"/>
        <v>±0.39</v>
      </c>
      <c r="AY43" s="225" t="str">
        <f>"±" &amp; TEXT(_xlfn.STDEV.P(AY2:AY31)*100,"0.00")  &amp; "%"</f>
        <v>±6.00%</v>
      </c>
      <c r="AZ43" s="225" t="str">
        <f t="shared" ref="AZ43:BN43" si="40">"±" &amp; TEXT(_xlfn.STDEV.P(AZ2:AZ31)*100,"0.00")  &amp; "%"</f>
        <v>±327.64%</v>
      </c>
      <c r="BA43" s="225" t="str">
        <f t="shared" si="40"/>
        <v>±6.12%</v>
      </c>
      <c r="BB43" s="225" t="str">
        <f t="shared" si="40"/>
        <v>±5.39%</v>
      </c>
      <c r="BC43" s="225" t="str">
        <f t="shared" si="40"/>
        <v>±2.10%</v>
      </c>
      <c r="BD43" s="225" t="str">
        <f t="shared" si="40"/>
        <v>±6.87%</v>
      </c>
      <c r="BE43" s="225" t="str">
        <f t="shared" si="40"/>
        <v>±10.25%</v>
      </c>
      <c r="BF43" s="225" t="str">
        <f t="shared" si="40"/>
        <v>±42.33%</v>
      </c>
      <c r="BG43" s="225" t="str">
        <f t="shared" si="40"/>
        <v>±2.94%</v>
      </c>
      <c r="BH43" s="225" t="str">
        <f t="shared" si="40"/>
        <v>±1.50%</v>
      </c>
      <c r="BI43" s="225" t="str">
        <f t="shared" si="40"/>
        <v>±3.18%</v>
      </c>
      <c r="BJ43" s="225" t="str">
        <f t="shared" si="40"/>
        <v>±4.21%</v>
      </c>
      <c r="BK43" s="225" t="str">
        <f t="shared" si="40"/>
        <v>±6.03%</v>
      </c>
      <c r="BL43" s="225" t="str">
        <f t="shared" si="40"/>
        <v>±1.07%</v>
      </c>
      <c r="BM43" s="225" t="str">
        <f t="shared" si="40"/>
        <v>±1.24%</v>
      </c>
      <c r="BN43" s="225" t="str">
        <f t="shared" si="40"/>
        <v>±2.10%</v>
      </c>
      <c r="BO43" s="32" t="str">
        <f t="shared" si="39"/>
        <v>±11.34</v>
      </c>
      <c r="BP43" s="32" t="str">
        <f t="shared" si="39"/>
        <v>±0.15</v>
      </c>
      <c r="BQ43" s="32" t="str">
        <f t="shared" si="39"/>
        <v>±0.50</v>
      </c>
      <c r="BR43" s="32" t="str">
        <f t="shared" si="39"/>
        <v>±0.13</v>
      </c>
      <c r="BS43" s="32" t="str">
        <f t="shared" si="39"/>
        <v>±4.60</v>
      </c>
      <c r="BT43" s="32" t="str">
        <f t="shared" si="39"/>
        <v>±4.46</v>
      </c>
    </row>
    <row r="44" spans="1:72" x14ac:dyDescent="0.3">
      <c r="A44" s="253">
        <v>1</v>
      </c>
      <c r="B44" s="254" t="s">
        <v>165</v>
      </c>
      <c r="C44" s="254"/>
      <c r="D44" s="255"/>
      <c r="E44" s="268"/>
      <c r="F44" s="188">
        <f>AVERAGE(F32:F33)</f>
        <v>308.5</v>
      </c>
      <c r="G44" s="189">
        <f>AVERAGE(G32:G33)</f>
        <v>27.549999999999997</v>
      </c>
      <c r="H44" s="189">
        <f t="shared" ref="H44:AI44" si="41">AVERAGE(H32:H33)</f>
        <v>7.1999999999999993</v>
      </c>
      <c r="I44" s="189">
        <f t="shared" si="41"/>
        <v>7.1000000000000005</v>
      </c>
      <c r="J44" s="189">
        <f t="shared" si="41"/>
        <v>7.7</v>
      </c>
      <c r="K44" s="189">
        <f t="shared" si="41"/>
        <v>0.35</v>
      </c>
      <c r="L44" s="189">
        <f t="shared" si="41"/>
        <v>0</v>
      </c>
      <c r="M44" s="189">
        <f t="shared" si="41"/>
        <v>15.05</v>
      </c>
      <c r="N44" s="189">
        <f t="shared" si="41"/>
        <v>0.55000000000000004</v>
      </c>
      <c r="O44" s="189">
        <f t="shared" si="41"/>
        <v>55.849999999999994</v>
      </c>
      <c r="P44" s="190">
        <f t="shared" si="41"/>
        <v>67</v>
      </c>
      <c r="Q44" s="190">
        <f t="shared" si="41"/>
        <v>3118.5</v>
      </c>
      <c r="R44" s="189">
        <f t="shared" si="41"/>
        <v>15.15</v>
      </c>
      <c r="S44" s="189">
        <f t="shared" si="41"/>
        <v>4.1500000000000004</v>
      </c>
      <c r="T44" s="189">
        <f t="shared" si="41"/>
        <v>0.24000000000000002</v>
      </c>
      <c r="U44" s="189">
        <f t="shared" si="41"/>
        <v>0.43</v>
      </c>
      <c r="V44" s="189">
        <f t="shared" si="41"/>
        <v>2.15</v>
      </c>
      <c r="W44" s="189">
        <f t="shared" si="41"/>
        <v>4.6500000000000004</v>
      </c>
      <c r="X44" s="190">
        <f t="shared" si="41"/>
        <v>150</v>
      </c>
      <c r="Y44" s="189">
        <f t="shared" si="41"/>
        <v>0.16999999999999998</v>
      </c>
      <c r="Z44" s="189">
        <f t="shared" si="41"/>
        <v>2.4249999999999998</v>
      </c>
      <c r="AA44" s="189">
        <f t="shared" si="41"/>
        <v>12.9</v>
      </c>
      <c r="AB44" s="189">
        <f t="shared" si="41"/>
        <v>1.375</v>
      </c>
      <c r="AC44" s="190">
        <f t="shared" si="41"/>
        <v>213.5</v>
      </c>
      <c r="AD44" s="190">
        <f t="shared" si="41"/>
        <v>180</v>
      </c>
      <c r="AE44" s="190">
        <f t="shared" si="41"/>
        <v>73.75</v>
      </c>
      <c r="AF44" s="190">
        <f t="shared" si="41"/>
        <v>220</v>
      </c>
      <c r="AG44" s="190">
        <f t="shared" si="41"/>
        <v>15.5</v>
      </c>
      <c r="AH44" s="189">
        <f t="shared" si="41"/>
        <v>2.2999999999999998</v>
      </c>
      <c r="AI44" s="191">
        <f t="shared" si="41"/>
        <v>2.35</v>
      </c>
      <c r="AJ44" s="246"/>
      <c r="AK44" s="192">
        <f>AVERAGE(AK32:AK33)</f>
        <v>1.2428700000000001</v>
      </c>
      <c r="AL44" s="193">
        <f>AVERAGE(AL32:AL33)</f>
        <v>2.0087130000000002</v>
      </c>
      <c r="AM44" s="186"/>
      <c r="AN44" s="246"/>
      <c r="AO44" s="194">
        <f t="shared" ref="AO44:BT44" si="42">AVERAGE(AO32:AO33)</f>
        <v>247.95</v>
      </c>
      <c r="AP44" s="195">
        <f t="shared" si="42"/>
        <v>1.1109929078014185</v>
      </c>
      <c r="AQ44" s="195">
        <f t="shared" si="42"/>
        <v>0.94078014184397163</v>
      </c>
      <c r="AR44" s="195">
        <f t="shared" si="42"/>
        <v>2.0374293785310735</v>
      </c>
      <c r="AS44" s="195">
        <f t="shared" si="42"/>
        <v>1.0637530072173216</v>
      </c>
      <c r="AT44" s="195">
        <f t="shared" si="42"/>
        <v>60.2</v>
      </c>
      <c r="AU44" s="195">
        <f t="shared" si="42"/>
        <v>0.19505111511925879</v>
      </c>
      <c r="AV44" s="195">
        <f t="shared" si="42"/>
        <v>3.2515830000000001</v>
      </c>
      <c r="AW44" s="226">
        <f t="shared" si="42"/>
        <v>13.006332</v>
      </c>
      <c r="AX44" s="195">
        <f t="shared" si="42"/>
        <v>0.59040249233706854</v>
      </c>
      <c r="AY44" s="226">
        <f t="shared" si="42"/>
        <v>3.8981249999999998</v>
      </c>
      <c r="AZ44" s="226">
        <f t="shared" si="42"/>
        <v>3.0300000000000002</v>
      </c>
      <c r="BA44" s="226">
        <f t="shared" si="42"/>
        <v>0.34583333333333333</v>
      </c>
      <c r="BB44" s="226">
        <f t="shared" si="42"/>
        <v>0.2181818181818182</v>
      </c>
      <c r="BC44" s="226">
        <f t="shared" si="42"/>
        <v>0.30714285714285716</v>
      </c>
      <c r="BD44" s="226">
        <f t="shared" si="42"/>
        <v>0.13437499999999999</v>
      </c>
      <c r="BE44" s="226">
        <f t="shared" si="42"/>
        <v>0.12142857142857144</v>
      </c>
      <c r="BF44" s="226">
        <f t="shared" si="42"/>
        <v>0.97000000000000008</v>
      </c>
      <c r="BG44" s="226">
        <f t="shared" si="42"/>
        <v>6.4500000000000002E-2</v>
      </c>
      <c r="BH44" s="226">
        <f t="shared" si="42"/>
        <v>8.8958333333333334E-2</v>
      </c>
      <c r="BI44" s="226">
        <f t="shared" si="42"/>
        <v>0.09</v>
      </c>
      <c r="BJ44" s="226">
        <f t="shared" si="42"/>
        <v>9.2187499999999992E-2</v>
      </c>
      <c r="BK44" s="226">
        <f t="shared" si="42"/>
        <v>0.31428571428571428</v>
      </c>
      <c r="BL44" s="226">
        <f t="shared" si="42"/>
        <v>4.1333333333333333E-2</v>
      </c>
      <c r="BM44" s="226">
        <f t="shared" si="42"/>
        <v>0.16428571428571426</v>
      </c>
      <c r="BN44" s="226">
        <f t="shared" si="42"/>
        <v>0.23500000000000001</v>
      </c>
      <c r="BO44" s="195">
        <f t="shared" si="42"/>
        <v>448.38065476190479</v>
      </c>
      <c r="BP44" s="195">
        <f t="shared" si="42"/>
        <v>1.1861111111111111</v>
      </c>
      <c r="BQ44" s="195">
        <f t="shared" si="42"/>
        <v>1.0318181818181817</v>
      </c>
      <c r="BR44" s="195">
        <f t="shared" si="42"/>
        <v>0.29973684210526319</v>
      </c>
      <c r="BS44" s="195">
        <f t="shared" si="42"/>
        <v>21.191355809523813</v>
      </c>
      <c r="BT44" s="195">
        <f t="shared" si="42"/>
        <v>6.9108833320820722</v>
      </c>
    </row>
    <row r="45" spans="1:72" x14ac:dyDescent="0.3">
      <c r="A45" s="253"/>
      <c r="B45" s="256" t="s">
        <v>164</v>
      </c>
      <c r="C45" s="256"/>
      <c r="D45" s="257"/>
      <c r="E45" s="268"/>
      <c r="F45" s="196" t="str">
        <f>"±" &amp; TEXT(_xlfn.STDEV.P(F32:F33),"0.00")</f>
        <v>±5.50</v>
      </c>
      <c r="G45" s="197" t="str">
        <f>"±" &amp; TEXT(_xlfn.STDEV.P(G32:G33),"0.00")</f>
        <v>±0.15</v>
      </c>
      <c r="H45" s="197" t="str">
        <f t="shared" ref="H45:AI45" si="43">"±" &amp; TEXT(_xlfn.STDEV.P(H32:H33),"0.00")</f>
        <v>±1.40</v>
      </c>
      <c r="I45" s="197" t="str">
        <f t="shared" si="43"/>
        <v>±4.70</v>
      </c>
      <c r="J45" s="197" t="str">
        <f t="shared" si="43"/>
        <v>±1.70</v>
      </c>
      <c r="K45" s="197" t="str">
        <f t="shared" si="43"/>
        <v>±0.25</v>
      </c>
      <c r="L45" s="197" t="str">
        <f t="shared" si="43"/>
        <v>±0.00</v>
      </c>
      <c r="M45" s="197" t="str">
        <f t="shared" si="43"/>
        <v>±1.65</v>
      </c>
      <c r="N45" s="197" t="str">
        <f t="shared" si="43"/>
        <v>±0.35</v>
      </c>
      <c r="O45" s="197" t="str">
        <f t="shared" si="43"/>
        <v>±1.55</v>
      </c>
      <c r="P45" s="197" t="str">
        <f>"±" &amp; TEXT(_xlfn.STDEV.P(P32:P33),"0")</f>
        <v>±41</v>
      </c>
      <c r="Q45" s="197" t="str">
        <f>"±" &amp; TEXT(_xlfn.STDEV.P(Q32:Q33),"0")</f>
        <v>±2232</v>
      </c>
      <c r="R45" s="197" t="str">
        <f t="shared" si="43"/>
        <v>±0.85</v>
      </c>
      <c r="S45" s="197" t="str">
        <f t="shared" si="43"/>
        <v>±1.75</v>
      </c>
      <c r="T45" s="197" t="str">
        <f t="shared" si="43"/>
        <v>±0.04</v>
      </c>
      <c r="U45" s="197" t="str">
        <f t="shared" si="43"/>
        <v>±0.17</v>
      </c>
      <c r="V45" s="197" t="str">
        <f t="shared" si="43"/>
        <v>±0.85</v>
      </c>
      <c r="W45" s="197" t="str">
        <f t="shared" si="43"/>
        <v>±0.85</v>
      </c>
      <c r="X45" s="232" t="str">
        <f>"±" &amp; TEXT(_xlfn.STDEV.P(X32:X33),"0")</f>
        <v>±0</v>
      </c>
      <c r="Y45" s="197" t="str">
        <f t="shared" si="43"/>
        <v>±0.02</v>
      </c>
      <c r="Z45" s="197" t="str">
        <f t="shared" si="43"/>
        <v>±0.53</v>
      </c>
      <c r="AA45" s="197" t="str">
        <f t="shared" si="43"/>
        <v>±3.60</v>
      </c>
      <c r="AB45" s="197" t="str">
        <f t="shared" si="43"/>
        <v>±0.18</v>
      </c>
      <c r="AC45" s="232" t="str">
        <f>"±" &amp; TEXT(_xlfn.STDEV.P(AC32:AC33),"0")</f>
        <v>±137</v>
      </c>
      <c r="AD45" s="197" t="str">
        <f t="shared" si="43"/>
        <v>±0.00</v>
      </c>
      <c r="AE45" s="197" t="str">
        <f t="shared" si="43"/>
        <v>±66.25</v>
      </c>
      <c r="AF45" s="197" t="str">
        <f t="shared" si="43"/>
        <v>±30.00</v>
      </c>
      <c r="AG45" s="197" t="str">
        <f t="shared" si="43"/>
        <v>±0.50</v>
      </c>
      <c r="AH45" s="197" t="str">
        <f t="shared" si="43"/>
        <v>±1.80</v>
      </c>
      <c r="AI45" s="198" t="str">
        <f t="shared" si="43"/>
        <v>±0.15</v>
      </c>
      <c r="AJ45" s="246"/>
      <c r="AK45" s="199" t="str">
        <f>"±" &amp; TEXT(_xlfn.STDEV.P(AK32:AK33),"0.00")</f>
        <v>±0.96</v>
      </c>
      <c r="AL45" s="87" t="str">
        <f>"±" &amp; TEXT(_xlfn.STDEV.P(AL32:AL33),"0.00")</f>
        <v>±1.49</v>
      </c>
      <c r="AM45" s="186"/>
      <c r="AN45" s="246"/>
      <c r="AO45" s="200" t="str">
        <f>"±" &amp; TEXT(_xlfn.STDEV.P(AO32:AO33),"0.00")</f>
        <v>±1.35</v>
      </c>
      <c r="AP45" s="91" t="str">
        <f>"±" &amp; TEXT(_xlfn.STDEV.P(AP32:AP33),"0.00")</f>
        <v>±0.86</v>
      </c>
      <c r="AQ45" s="91" t="str">
        <f t="shared" ref="AQ45:BT45" si="44">"±" &amp; TEXT(_xlfn.STDEV.P(AQ32:AQ33),"0.00")</f>
        <v>±0.03</v>
      </c>
      <c r="AR45" s="91" t="str">
        <f t="shared" si="44"/>
        <v>±1.55</v>
      </c>
      <c r="AS45" s="91" t="str">
        <f t="shared" si="44"/>
        <v>±0.03</v>
      </c>
      <c r="AT45" s="91" t="str">
        <f t="shared" si="44"/>
        <v>±6.60</v>
      </c>
      <c r="AU45" s="91" t="str">
        <f t="shared" si="44"/>
        <v>±0.02</v>
      </c>
      <c r="AV45" s="91" t="str">
        <f t="shared" si="44"/>
        <v>±2.45</v>
      </c>
      <c r="AW45" s="227" t="str">
        <f>"±" &amp; TEXT(_xlfn.STDEV.P(AW32:AW33)*100,"0.00") &amp; "%"</f>
        <v>±979.37%</v>
      </c>
      <c r="AX45" s="91" t="str">
        <f t="shared" si="44"/>
        <v>±0.04</v>
      </c>
      <c r="AY45" s="227" t="str">
        <f>"±" &amp; TEXT(_xlfn.STDEV.P(AY32:AY33)*100,"0.00") &amp; "%"</f>
        <v>±278.94%</v>
      </c>
      <c r="AZ45" s="227" t="str">
        <f t="shared" ref="AZ45:BN45" si="45">"±" &amp; TEXT(_xlfn.STDEV.P(AZ32:AZ33)*100,"0.00") &amp; "%"</f>
        <v>±17.00%</v>
      </c>
      <c r="BA45" s="227" t="str">
        <f t="shared" si="45"/>
        <v>±14.58%</v>
      </c>
      <c r="BB45" s="227" t="str">
        <f t="shared" si="45"/>
        <v>±3.64%</v>
      </c>
      <c r="BC45" s="227" t="str">
        <f t="shared" si="45"/>
        <v>±12.14%</v>
      </c>
      <c r="BD45" s="227" t="str">
        <f t="shared" si="45"/>
        <v>±5.31%</v>
      </c>
      <c r="BE45" s="227" t="str">
        <f t="shared" si="45"/>
        <v>±1.43%</v>
      </c>
      <c r="BF45" s="227" t="str">
        <f t="shared" si="45"/>
        <v>±21.00%</v>
      </c>
      <c r="BG45" s="227" t="str">
        <f t="shared" si="45"/>
        <v>±1.80%</v>
      </c>
      <c r="BH45" s="227" t="str">
        <f t="shared" si="45"/>
        <v>±5.69%</v>
      </c>
      <c r="BI45" s="227" t="str">
        <f t="shared" si="45"/>
        <v>±0.00%</v>
      </c>
      <c r="BJ45" s="227" t="str">
        <f t="shared" si="45"/>
        <v>±8.28%</v>
      </c>
      <c r="BK45" s="227" t="str">
        <f t="shared" si="45"/>
        <v>±4.29%</v>
      </c>
      <c r="BL45" s="227" t="str">
        <f t="shared" si="45"/>
        <v>±0.13%</v>
      </c>
      <c r="BM45" s="227" t="str">
        <f t="shared" si="45"/>
        <v>±12.86%</v>
      </c>
      <c r="BN45" s="227" t="str">
        <f t="shared" si="45"/>
        <v>±1.50%</v>
      </c>
      <c r="BO45" s="91" t="str">
        <f t="shared" si="44"/>
        <v>±302.58</v>
      </c>
      <c r="BP45" s="91" t="str">
        <f t="shared" si="44"/>
        <v>±0.76</v>
      </c>
      <c r="BQ45" s="91" t="str">
        <f t="shared" si="44"/>
        <v>±0.83</v>
      </c>
      <c r="BR45" s="91" t="str">
        <f t="shared" si="44"/>
        <v>±0.26</v>
      </c>
      <c r="BS45" s="91" t="str">
        <f t="shared" si="44"/>
        <v>±6.84</v>
      </c>
      <c r="BT45" s="91" t="str">
        <f t="shared" si="44"/>
        <v>±2.34</v>
      </c>
    </row>
    <row r="46" spans="1:72" x14ac:dyDescent="0.3">
      <c r="A46" s="258">
        <v>2</v>
      </c>
      <c r="B46" s="260" t="s">
        <v>166</v>
      </c>
      <c r="C46" s="260"/>
      <c r="D46" s="261"/>
      <c r="E46" s="268"/>
      <c r="F46" s="201">
        <f>AVERAGE(F34:F41)</f>
        <v>171.875</v>
      </c>
      <c r="G46" s="202">
        <f>AVERAGE(G34:G41)</f>
        <v>10.399999999999999</v>
      </c>
      <c r="H46" s="202">
        <f t="shared" ref="H46:AI46" si="46">AVERAGE(H34:H41)</f>
        <v>2.65</v>
      </c>
      <c r="I46" s="202">
        <f t="shared" si="46"/>
        <v>3.375</v>
      </c>
      <c r="J46" s="202">
        <f t="shared" si="46"/>
        <v>3.0999999999999996</v>
      </c>
      <c r="K46" s="202">
        <f t="shared" si="46"/>
        <v>0.23749999999999999</v>
      </c>
      <c r="L46" s="202">
        <f t="shared" si="46"/>
        <v>0.17500000000000002</v>
      </c>
      <c r="M46" s="202">
        <f t="shared" si="46"/>
        <v>19.537499999999998</v>
      </c>
      <c r="N46" s="202">
        <f t="shared" si="46"/>
        <v>0.17499999999999999</v>
      </c>
      <c r="O46" s="202">
        <f t="shared" si="46"/>
        <v>68.012500000000003</v>
      </c>
      <c r="P46" s="203">
        <f t="shared" si="46"/>
        <v>35</v>
      </c>
      <c r="Q46" s="203">
        <f t="shared" si="46"/>
        <v>28.125</v>
      </c>
      <c r="R46" s="202">
        <f t="shared" si="46"/>
        <v>9.1374999999999993</v>
      </c>
      <c r="S46" s="202">
        <f t="shared" si="46"/>
        <v>1.13625</v>
      </c>
      <c r="T46" s="202">
        <f t="shared" si="46"/>
        <v>0.10500000000000001</v>
      </c>
      <c r="U46" s="202">
        <f t="shared" si="46"/>
        <v>0.12875</v>
      </c>
      <c r="V46" s="202">
        <f t="shared" si="46"/>
        <v>6.125</v>
      </c>
      <c r="W46" s="202">
        <f t="shared" si="46"/>
        <v>9.85</v>
      </c>
      <c r="X46" s="203">
        <f t="shared" si="46"/>
        <v>219</v>
      </c>
      <c r="Y46" s="202">
        <f t="shared" si="46"/>
        <v>0.51749999999999996</v>
      </c>
      <c r="Z46" s="202">
        <f t="shared" si="46"/>
        <v>7.2625000000000002</v>
      </c>
      <c r="AA46" s="202">
        <f t="shared" si="46"/>
        <v>14.5375</v>
      </c>
      <c r="AB46" s="202">
        <f t="shared" si="46"/>
        <v>1.45</v>
      </c>
      <c r="AC46" s="203">
        <f t="shared" si="46"/>
        <v>65.875</v>
      </c>
      <c r="AD46" s="203">
        <f t="shared" si="46"/>
        <v>370</v>
      </c>
      <c r="AE46" s="203">
        <f t="shared" si="46"/>
        <v>48.875</v>
      </c>
      <c r="AF46" s="203">
        <f t="shared" si="46"/>
        <v>268.75</v>
      </c>
      <c r="AG46" s="203">
        <f t="shared" si="46"/>
        <v>31.625</v>
      </c>
      <c r="AH46" s="202">
        <f t="shared" si="46"/>
        <v>1.125</v>
      </c>
      <c r="AI46" s="204">
        <f t="shared" si="46"/>
        <v>1.575</v>
      </c>
      <c r="AJ46" s="246"/>
      <c r="AK46" s="205">
        <f>AVERAGE(AK34:AK41)</f>
        <v>0.99449999999999994</v>
      </c>
      <c r="AL46" s="206">
        <f>AVERAGE(AL34:AL41)</f>
        <v>1.50875</v>
      </c>
      <c r="AM46" s="207"/>
      <c r="AN46" s="246"/>
      <c r="AO46" s="208">
        <f t="shared" ref="AO46:BT46" si="47">AVERAGE(AO34:AO41)</f>
        <v>93.6</v>
      </c>
      <c r="AP46" s="209">
        <f t="shared" si="47"/>
        <v>1.0285717389792797</v>
      </c>
      <c r="AQ46" s="209">
        <f t="shared" si="47"/>
        <v>0.96907727146306621</v>
      </c>
      <c r="AR46" s="209">
        <f t="shared" si="47"/>
        <v>0.90876576037760248</v>
      </c>
      <c r="AS46" s="209">
        <f t="shared" si="47"/>
        <v>1.1502974620413253</v>
      </c>
      <c r="AT46" s="209">
        <f t="shared" si="47"/>
        <v>78.149999999999991</v>
      </c>
      <c r="AU46" s="209">
        <f t="shared" si="47"/>
        <v>0.50877884464045153</v>
      </c>
      <c r="AV46" s="209">
        <f t="shared" si="47"/>
        <v>2.5032500000000004</v>
      </c>
      <c r="AW46" s="228">
        <f t="shared" si="47"/>
        <v>10.013000000000002</v>
      </c>
      <c r="AX46" s="209">
        <f t="shared" si="47"/>
        <v>0.59204460005306336</v>
      </c>
      <c r="AY46" s="228">
        <f t="shared" si="47"/>
        <v>3.515625E-2</v>
      </c>
      <c r="AZ46" s="228">
        <f t="shared" si="47"/>
        <v>1.8275000000000001</v>
      </c>
      <c r="BA46" s="228">
        <f t="shared" si="47"/>
        <v>9.4687499999999994E-2</v>
      </c>
      <c r="BB46" s="228">
        <f t="shared" si="47"/>
        <v>9.5454545454545431E-2</v>
      </c>
      <c r="BC46" s="228">
        <f t="shared" si="47"/>
        <v>9.1964285714285721E-2</v>
      </c>
      <c r="BD46" s="228">
        <f t="shared" si="47"/>
        <v>0.3828125</v>
      </c>
      <c r="BE46" s="228">
        <f t="shared" si="47"/>
        <v>0.36964285714285716</v>
      </c>
      <c r="BF46" s="228">
        <f t="shared" si="47"/>
        <v>2.9050000000000002</v>
      </c>
      <c r="BG46" s="228">
        <f t="shared" si="47"/>
        <v>7.2687500000000016E-2</v>
      </c>
      <c r="BH46" s="228">
        <f t="shared" si="47"/>
        <v>2.7447916666666673E-2</v>
      </c>
      <c r="BI46" s="228">
        <f t="shared" si="47"/>
        <v>0.185</v>
      </c>
      <c r="BJ46" s="228">
        <f t="shared" si="47"/>
        <v>6.1093750000000002E-2</v>
      </c>
      <c r="BK46" s="228">
        <f t="shared" si="47"/>
        <v>0.38392857142857134</v>
      </c>
      <c r="BL46" s="228">
        <f t="shared" si="47"/>
        <v>8.4333333333333343E-2</v>
      </c>
      <c r="BM46" s="228">
        <f t="shared" si="47"/>
        <v>8.0357142857142849E-2</v>
      </c>
      <c r="BN46" s="228">
        <f t="shared" si="47"/>
        <v>0.1575</v>
      </c>
      <c r="BO46" s="209">
        <f t="shared" si="47"/>
        <v>77.143005952380946</v>
      </c>
      <c r="BP46" s="209">
        <f t="shared" si="47"/>
        <v>0.17648930180180183</v>
      </c>
      <c r="BQ46" s="209">
        <f t="shared" si="47"/>
        <v>0.828587962962963</v>
      </c>
      <c r="BR46" s="209">
        <f t="shared" si="47"/>
        <v>0.17694765285491093</v>
      </c>
      <c r="BS46" s="209">
        <f t="shared" si="47"/>
        <v>15.472839285714286</v>
      </c>
      <c r="BT46" s="209">
        <f t="shared" si="47"/>
        <v>9.1563629622827083</v>
      </c>
    </row>
    <row r="47" spans="1:72" ht="15" thickBot="1" x14ac:dyDescent="0.35">
      <c r="A47" s="259"/>
      <c r="B47" s="262" t="s">
        <v>164</v>
      </c>
      <c r="C47" s="262"/>
      <c r="D47" s="263"/>
      <c r="E47" s="268"/>
      <c r="F47" s="210" t="str">
        <f>"±" &amp; TEXT(_xlfn.STDEV.P(F34:F41),"0.00")</f>
        <v>±51.98</v>
      </c>
      <c r="G47" s="211" t="str">
        <f>"±" &amp; TEXT(_xlfn.STDEV.P(G34:G41),"0.00")</f>
        <v>±6.36</v>
      </c>
      <c r="H47" s="211" t="str">
        <f t="shared" ref="H47:AI47" si="48">"±" &amp; TEXT(_xlfn.STDEV.P(H34:H41),"0.00")</f>
        <v>±1.42</v>
      </c>
      <c r="I47" s="211" t="str">
        <f t="shared" si="48"/>
        <v>±2.78</v>
      </c>
      <c r="J47" s="211" t="str">
        <f t="shared" si="48"/>
        <v>±1.87</v>
      </c>
      <c r="K47" s="211" t="str">
        <f t="shared" si="48"/>
        <v>±0.23</v>
      </c>
      <c r="L47" s="211" t="str">
        <f t="shared" si="48"/>
        <v>±0.19</v>
      </c>
      <c r="M47" s="211" t="str">
        <f t="shared" si="48"/>
        <v>±2.08</v>
      </c>
      <c r="N47" s="211" t="str">
        <f t="shared" si="48"/>
        <v>±0.04</v>
      </c>
      <c r="O47" s="211" t="str">
        <f t="shared" si="48"/>
        <v>±5.11</v>
      </c>
      <c r="P47" s="211" t="str">
        <f>"±" &amp; TEXT(_xlfn.STDEV.P(P34:P41),"0")</f>
        <v>±8</v>
      </c>
      <c r="Q47" s="211" t="str">
        <f>"±" &amp; TEXT(_xlfn.STDEV.P(Q34:Q41),"0")</f>
        <v>±18</v>
      </c>
      <c r="R47" s="211" t="str">
        <f t="shared" si="48"/>
        <v>±6.39</v>
      </c>
      <c r="S47" s="211" t="str">
        <f t="shared" si="48"/>
        <v>±1.16</v>
      </c>
      <c r="T47" s="211" t="str">
        <f t="shared" si="48"/>
        <v>±0.06</v>
      </c>
      <c r="U47" s="211" t="str">
        <f t="shared" si="48"/>
        <v>±0.06</v>
      </c>
      <c r="V47" s="211" t="str">
        <f t="shared" si="48"/>
        <v>±2.10</v>
      </c>
      <c r="W47" s="211" t="str">
        <f t="shared" si="48"/>
        <v>±2.60</v>
      </c>
      <c r="X47" s="233" t="str">
        <f>"±" &amp; TEXT(_xlfn.STDEV.P(X34:X41),"0")</f>
        <v>±26</v>
      </c>
      <c r="Y47" s="211" t="str">
        <f t="shared" si="48"/>
        <v>±0.20</v>
      </c>
      <c r="Z47" s="211" t="str">
        <f t="shared" si="48"/>
        <v>±3.86</v>
      </c>
      <c r="AA47" s="211" t="str">
        <f t="shared" si="48"/>
        <v>±4.33</v>
      </c>
      <c r="AB47" s="211" t="str">
        <f t="shared" si="48"/>
        <v>±0.13</v>
      </c>
      <c r="AC47" s="233" t="str">
        <f>"±" &amp; TEXT(_xlfn.STDEV.P(AC34:AC41),"0")</f>
        <v>±15</v>
      </c>
      <c r="AD47" s="211" t="str">
        <f t="shared" si="48"/>
        <v>±31.22</v>
      </c>
      <c r="AE47" s="211" t="str">
        <f t="shared" si="48"/>
        <v>±25.77</v>
      </c>
      <c r="AF47" s="211" t="str">
        <f t="shared" si="48"/>
        <v>±28.48</v>
      </c>
      <c r="AG47" s="211" t="str">
        <f t="shared" si="48"/>
        <v>±4.27</v>
      </c>
      <c r="AH47" s="211" t="str">
        <f t="shared" si="48"/>
        <v>±0.61</v>
      </c>
      <c r="AI47" s="212" t="str">
        <f t="shared" si="48"/>
        <v>±0.62</v>
      </c>
      <c r="AJ47" s="246"/>
      <c r="AK47" s="213" t="str">
        <f>"±" &amp; TEXT(_xlfn.STDEV.P(AK34:AK41),"0.00")</f>
        <v>±0.75</v>
      </c>
      <c r="AL47" s="214" t="str">
        <f>"±" &amp; TEXT(_xlfn.STDEV.P(AL34:AL41),"0.00")</f>
        <v>±0.86</v>
      </c>
      <c r="AM47" s="207"/>
      <c r="AN47" s="246"/>
      <c r="AO47" s="215" t="str">
        <f>"±" &amp; TEXT(_xlfn.STDEV.P(AO34:AO41),"0.00")</f>
        <v>±57.22</v>
      </c>
      <c r="AP47" s="216" t="str">
        <f>"±" &amp; TEXT(_xlfn.STDEV.P(AP34:AP41),"0.00")</f>
        <v>±0.66</v>
      </c>
      <c r="AQ47" s="216" t="str">
        <f t="shared" ref="AQ47:BT47" si="49">"±" &amp; TEXT(_xlfn.STDEV.P(AQ34:AQ41),"0.00")</f>
        <v>±0.44</v>
      </c>
      <c r="AR47" s="216" t="str">
        <f t="shared" si="49"/>
        <v>±0.22</v>
      </c>
      <c r="AS47" s="216" t="str">
        <f t="shared" si="49"/>
        <v>±0.26</v>
      </c>
      <c r="AT47" s="216" t="str">
        <f t="shared" si="49"/>
        <v>±8.32</v>
      </c>
      <c r="AU47" s="216" t="str">
        <f t="shared" si="49"/>
        <v>±0.18</v>
      </c>
      <c r="AV47" s="216" t="str">
        <f t="shared" si="49"/>
        <v>±1.60</v>
      </c>
      <c r="AW47" s="229" t="str">
        <f>"±" &amp; TEXT(_xlfn.STDEV.P(AW34:AW41)*100,"0.00")  &amp; "%"</f>
        <v>±640.90%</v>
      </c>
      <c r="AX47" s="216" t="str">
        <f t="shared" si="49"/>
        <v>±0.18</v>
      </c>
      <c r="AY47" s="229" t="str">
        <f>"±" &amp; TEXT(_xlfn.STDEV.P(AY34:AY41)*100,"0.00") &amp; "%"</f>
        <v>±2.24%</v>
      </c>
      <c r="AZ47" s="229" t="str">
        <f t="shared" ref="AZ47:BN47" si="50">"±" &amp; TEXT(_xlfn.STDEV.P(AZ34:AZ41)*100,"0.00") &amp; "%"</f>
        <v>±127.78%</v>
      </c>
      <c r="BA47" s="229" t="str">
        <f t="shared" si="50"/>
        <v>±9.68%</v>
      </c>
      <c r="BB47" s="229" t="str">
        <f t="shared" si="50"/>
        <v>±5.42%</v>
      </c>
      <c r="BC47" s="229" t="str">
        <f t="shared" si="50"/>
        <v>±4.48%</v>
      </c>
      <c r="BD47" s="229" t="str">
        <f t="shared" si="50"/>
        <v>±13.12%</v>
      </c>
      <c r="BE47" s="229" t="str">
        <f t="shared" si="50"/>
        <v>±14.08%</v>
      </c>
      <c r="BF47" s="229" t="str">
        <f t="shared" si="50"/>
        <v>±154.25%</v>
      </c>
      <c r="BG47" s="229" t="str">
        <f t="shared" si="50"/>
        <v>±2.17%</v>
      </c>
      <c r="BH47" s="229" t="str">
        <f t="shared" si="50"/>
        <v>±0.64%</v>
      </c>
      <c r="BI47" s="229" t="str">
        <f t="shared" si="50"/>
        <v>±1.56%</v>
      </c>
      <c r="BJ47" s="229" t="str">
        <f t="shared" si="50"/>
        <v>±3.22%</v>
      </c>
      <c r="BK47" s="229" t="str">
        <f t="shared" si="50"/>
        <v>±4.07%</v>
      </c>
      <c r="BL47" s="229" t="str">
        <f t="shared" si="50"/>
        <v>±1.14%</v>
      </c>
      <c r="BM47" s="229" t="str">
        <f t="shared" si="50"/>
        <v>±4.34%</v>
      </c>
      <c r="BN47" s="229" t="str">
        <f t="shared" si="50"/>
        <v>±6.24%</v>
      </c>
      <c r="BO47" s="216" t="str">
        <f t="shared" si="49"/>
        <v>±7.07</v>
      </c>
      <c r="BP47" s="216" t="str">
        <f t="shared" si="49"/>
        <v>±0.03</v>
      </c>
      <c r="BQ47" s="216" t="str">
        <f t="shared" si="49"/>
        <v>±0.40</v>
      </c>
      <c r="BR47" s="216" t="str">
        <f t="shared" si="49"/>
        <v>±0.09</v>
      </c>
      <c r="BS47" s="216" t="str">
        <f t="shared" si="49"/>
        <v>±8.46</v>
      </c>
      <c r="BT47" s="216" t="str">
        <f t="shared" si="49"/>
        <v>±4.19</v>
      </c>
    </row>
    <row r="48" spans="1:72" x14ac:dyDescent="0.3">
      <c r="A48" s="264" t="s">
        <v>167</v>
      </c>
      <c r="B48" s="264"/>
      <c r="C48" s="264"/>
      <c r="D48" s="265"/>
      <c r="E48" s="268"/>
      <c r="F48" s="217">
        <f>AVERAGE(F2:F47)</f>
        <v>122.28468992248062</v>
      </c>
      <c r="G48" s="218">
        <f>AVERAGE(G2:G47)</f>
        <v>5.3893023255813963</v>
      </c>
      <c r="H48" s="218">
        <f t="shared" ref="H48:BS48" si="51">AVERAGE(H2:H47)</f>
        <v>1.3333333333333335</v>
      </c>
      <c r="I48" s="218">
        <f t="shared" si="51"/>
        <v>1.6751550387596896</v>
      </c>
      <c r="J48" s="218">
        <f t="shared" si="51"/>
        <v>1.4551937984496126</v>
      </c>
      <c r="K48" s="218">
        <f t="shared" si="51"/>
        <v>0.10422674418604654</v>
      </c>
      <c r="L48" s="218">
        <f t="shared" si="51"/>
        <v>3.6627906976744187E-2</v>
      </c>
      <c r="M48" s="218">
        <f t="shared" si="51"/>
        <v>18.416375968992245</v>
      </c>
      <c r="N48" s="218">
        <f t="shared" si="51"/>
        <v>0.25282945736434098</v>
      </c>
      <c r="O48" s="218">
        <f t="shared" si="51"/>
        <v>74.340213178294576</v>
      </c>
      <c r="P48" s="234">
        <f t="shared" si="51"/>
        <v>40.404651162790699</v>
      </c>
      <c r="Q48" s="234">
        <f t="shared" si="51"/>
        <v>237.73081395348837</v>
      </c>
      <c r="R48" s="218">
        <f t="shared" si="51"/>
        <v>8.1025000000000009</v>
      </c>
      <c r="S48" s="218">
        <f t="shared" si="51"/>
        <v>1.116114341085271</v>
      </c>
      <c r="T48" s="218">
        <f t="shared" si="51"/>
        <v>9.1348837209302314E-2</v>
      </c>
      <c r="U48" s="218">
        <f t="shared" si="51"/>
        <v>9.179263565891474E-2</v>
      </c>
      <c r="V48" s="218">
        <f t="shared" si="51"/>
        <v>2.9793333333333334</v>
      </c>
      <c r="W48" s="218">
        <f t="shared" si="51"/>
        <v>6.398984496124033</v>
      </c>
      <c r="X48" s="234">
        <f t="shared" si="51"/>
        <v>204.09302325581396</v>
      </c>
      <c r="Y48" s="218">
        <f t="shared" si="51"/>
        <v>0.28142248062015507</v>
      </c>
      <c r="Z48" s="218">
        <f t="shared" si="51"/>
        <v>2.6476007751937987</v>
      </c>
      <c r="AA48" s="218">
        <f t="shared" si="51"/>
        <v>12.524205426356589</v>
      </c>
      <c r="AB48" s="218">
        <f t="shared" si="51"/>
        <v>1.3133178294573642</v>
      </c>
      <c r="AC48" s="234">
        <f t="shared" si="51"/>
        <v>96.979263565891472</v>
      </c>
      <c r="AD48" s="234">
        <f t="shared" si="51"/>
        <v>341.60465116279067</v>
      </c>
      <c r="AE48" s="234">
        <f t="shared" si="51"/>
        <v>35.561046511627907</v>
      </c>
      <c r="AF48" s="234">
        <f t="shared" si="51"/>
        <v>220.59108527131781</v>
      </c>
      <c r="AG48" s="234">
        <f t="shared" si="51"/>
        <v>29.184302325581395</v>
      </c>
      <c r="AH48" s="218">
        <f t="shared" si="51"/>
        <v>0.66507751937984505</v>
      </c>
      <c r="AI48" s="219">
        <f t="shared" si="51"/>
        <v>0.9501937984496126</v>
      </c>
      <c r="AJ48" s="246"/>
      <c r="AK48" s="218">
        <f t="shared" si="51"/>
        <v>0.43205604651162788</v>
      </c>
      <c r="AL48" s="218">
        <f t="shared" si="51"/>
        <v>0.71471757364341104</v>
      </c>
      <c r="AM48" s="220"/>
      <c r="AN48" s="246"/>
      <c r="AO48" s="218">
        <f t="shared" si="51"/>
        <v>48.503720930232554</v>
      </c>
      <c r="AP48" s="218">
        <f t="shared" si="51"/>
        <v>1.4254836971486602</v>
      </c>
      <c r="AQ48" s="218">
        <f t="shared" si="51"/>
        <v>0.83846810375097913</v>
      </c>
      <c r="AR48" s="218">
        <f t="shared" si="51"/>
        <v>0.75131039418186918</v>
      </c>
      <c r="AS48" s="218">
        <f t="shared" si="51"/>
        <v>1.0375647764272813</v>
      </c>
      <c r="AT48" s="218">
        <f t="shared" si="51"/>
        <v>73.66550387596898</v>
      </c>
      <c r="AU48" s="218">
        <f t="shared" si="51"/>
        <v>0.72690266519657398</v>
      </c>
      <c r="AV48" s="218">
        <f t="shared" si="51"/>
        <v>1.1467736201550383</v>
      </c>
      <c r="AW48" s="236">
        <f t="shared" si="51"/>
        <v>4.587094480620153</v>
      </c>
      <c r="AX48" s="218">
        <f t="shared" si="51"/>
        <v>0.56040760255776312</v>
      </c>
      <c r="AY48" s="236">
        <f t="shared" si="51"/>
        <v>0.29716351744186048</v>
      </c>
      <c r="AZ48" s="236">
        <f t="shared" si="51"/>
        <v>1.6205000000000001</v>
      </c>
      <c r="BA48" s="236">
        <f t="shared" si="51"/>
        <v>9.3009528423772622E-2</v>
      </c>
      <c r="BB48" s="236">
        <f t="shared" si="51"/>
        <v>8.3044397463002101E-2</v>
      </c>
      <c r="BC48" s="236">
        <f t="shared" si="51"/>
        <v>6.5566168327796229E-2</v>
      </c>
      <c r="BD48" s="236">
        <f t="shared" si="51"/>
        <v>0.18620833333333334</v>
      </c>
      <c r="BE48" s="236">
        <f t="shared" si="51"/>
        <v>0.201016057585825</v>
      </c>
      <c r="BF48" s="236">
        <f t="shared" si="51"/>
        <v>1.0590403100775196</v>
      </c>
      <c r="BG48" s="236">
        <f t="shared" si="51"/>
        <v>6.2621027131782955E-2</v>
      </c>
      <c r="BH48" s="236">
        <f t="shared" si="51"/>
        <v>4.0408026485788118E-2</v>
      </c>
      <c r="BI48" s="236">
        <f t="shared" si="51"/>
        <v>0.17080232558139533</v>
      </c>
      <c r="BJ48" s="236">
        <f t="shared" si="51"/>
        <v>4.4451308139534879E-2</v>
      </c>
      <c r="BK48" s="236">
        <f t="shared" si="51"/>
        <v>0.31513012181616845</v>
      </c>
      <c r="BL48" s="236">
        <f t="shared" si="51"/>
        <v>7.7824806201550398E-2</v>
      </c>
      <c r="BM48" s="236">
        <f t="shared" si="51"/>
        <v>4.7505537098560355E-2</v>
      </c>
      <c r="BN48" s="236">
        <f t="shared" si="51"/>
        <v>9.5019379844961269E-2</v>
      </c>
      <c r="BO48" s="218">
        <f t="shared" si="51"/>
        <v>99.200984911406437</v>
      </c>
      <c r="BP48" s="218">
        <f t="shared" si="51"/>
        <v>0.32937654544731204</v>
      </c>
      <c r="BQ48" s="218">
        <f t="shared" si="51"/>
        <v>0.72048457302817759</v>
      </c>
      <c r="BR48" s="218">
        <f t="shared" si="51"/>
        <v>0.15547994025590051</v>
      </c>
      <c r="BS48" s="218">
        <f t="shared" si="51"/>
        <v>7.9797757190845324</v>
      </c>
      <c r="BT48" s="218">
        <f t="shared" ref="BT48" si="52">AVERAGE(BT2:BT47)</f>
        <v>5.876193294785744</v>
      </c>
    </row>
    <row r="49" spans="1:72" x14ac:dyDescent="0.3">
      <c r="A49" s="266"/>
      <c r="B49" s="266"/>
      <c r="C49" s="266"/>
      <c r="D49" s="267"/>
      <c r="E49" s="268"/>
      <c r="F49" s="217" t="str">
        <f>"±" &amp; TEXT(_xlfn.STDEV.P(F2:F41),"0.00")</f>
        <v>±61.27</v>
      </c>
      <c r="G49" s="217" t="str">
        <f t="shared" ref="G49:BS49" si="53">"±" &amp; TEXT(_xlfn.STDEV.P(G2:G41),"0.00")</f>
        <v>±7.01</v>
      </c>
      <c r="H49" s="217" t="str">
        <f t="shared" si="53"/>
        <v>±1.84</v>
      </c>
      <c r="I49" s="217" t="str">
        <f t="shared" si="53"/>
        <v>±2.46</v>
      </c>
      <c r="J49" s="217" t="str">
        <f t="shared" si="53"/>
        <v>±2.06</v>
      </c>
      <c r="K49" s="217" t="str">
        <f t="shared" si="53"/>
        <v>±0.17</v>
      </c>
      <c r="L49" s="217" t="str">
        <f t="shared" si="53"/>
        <v>±0.11</v>
      </c>
      <c r="M49" s="217" t="str">
        <f t="shared" si="53"/>
        <v>±1.87</v>
      </c>
      <c r="N49" s="217" t="str">
        <f t="shared" si="53"/>
        <v>±0.14</v>
      </c>
      <c r="O49" s="217" t="str">
        <f t="shared" si="53"/>
        <v>±6.69</v>
      </c>
      <c r="P49" s="217" t="str">
        <f>"±" &amp; TEXT(_xlfn.STDEV.P(P2:P41),"0")</f>
        <v>±17</v>
      </c>
      <c r="Q49" s="217" t="str">
        <f>"±" &amp; TEXT(_xlfn.STDEV.P(Q2:Q41),"0")</f>
        <v>±840</v>
      </c>
      <c r="R49" s="217" t="str">
        <f t="shared" si="53"/>
        <v>±14.59</v>
      </c>
      <c r="S49" s="217" t="str">
        <f t="shared" si="53"/>
        <v>±1.16</v>
      </c>
      <c r="T49" s="217" t="str">
        <f t="shared" si="53"/>
        <v>±0.07</v>
      </c>
      <c r="U49" s="217" t="str">
        <f t="shared" si="53"/>
        <v>±0.10</v>
      </c>
      <c r="V49" s="217" t="str">
        <f t="shared" si="53"/>
        <v>±2.09</v>
      </c>
      <c r="W49" s="217" t="str">
        <f t="shared" si="53"/>
        <v>±2.35</v>
      </c>
      <c r="X49" s="217" t="str">
        <f>"±" &amp; TEXT(_xlfn.STDEV.P(X2:X41),"0")</f>
        <v>±23</v>
      </c>
      <c r="Y49" s="217" t="str">
        <f t="shared" si="53"/>
        <v>±0.19</v>
      </c>
      <c r="Z49" s="217" t="str">
        <f t="shared" si="53"/>
        <v>±3.06</v>
      </c>
      <c r="AA49" s="217" t="str">
        <f t="shared" si="53"/>
        <v>±5.60</v>
      </c>
      <c r="AB49" s="217" t="str">
        <f t="shared" si="53"/>
        <v>±0.20</v>
      </c>
      <c r="AC49" s="217" t="str">
        <f>"±" &amp; TEXT(_xlfn.STDEV.P(AC2:AC41),"0")</f>
        <v>±53</v>
      </c>
      <c r="AD49" s="217" t="str">
        <f>"±" &amp; TEXT(_xlfn.STDEV.P(AD2:AD41),"0")</f>
        <v>±69</v>
      </c>
      <c r="AE49" s="217" t="str">
        <f t="shared" ref="AE49:AG49" si="54">"±" &amp; TEXT(_xlfn.STDEV.P(AE2:AE41),"0")</f>
        <v>±37</v>
      </c>
      <c r="AF49" s="217" t="str">
        <f t="shared" si="54"/>
        <v>±46</v>
      </c>
      <c r="AG49" s="217" t="str">
        <f t="shared" si="54"/>
        <v>±5</v>
      </c>
      <c r="AH49" s="217" t="str">
        <f t="shared" si="53"/>
        <v>±0.70</v>
      </c>
      <c r="AI49" s="221" t="str">
        <f t="shared" si="53"/>
        <v>±0.60</v>
      </c>
      <c r="AJ49" s="246"/>
      <c r="AK49" s="217" t="str">
        <f t="shared" si="53"/>
        <v>±0.57</v>
      </c>
      <c r="AL49" s="217" t="str">
        <f t="shared" si="53"/>
        <v>±0.82</v>
      </c>
      <c r="AM49" s="220"/>
      <c r="AN49" s="246"/>
      <c r="AO49" s="217" t="str">
        <f t="shared" si="53"/>
        <v>±63.09</v>
      </c>
      <c r="AP49" s="217" t="str">
        <f t="shared" si="53"/>
        <v>±2.33</v>
      </c>
      <c r="AQ49" s="217" t="str">
        <f t="shared" si="53"/>
        <v>±0.63</v>
      </c>
      <c r="AR49" s="217" t="str">
        <f t="shared" si="53"/>
        <v>±0.59</v>
      </c>
      <c r="AS49" s="217" t="str">
        <f t="shared" si="53"/>
        <v>±0.71</v>
      </c>
      <c r="AT49" s="217" t="str">
        <f t="shared" si="53"/>
        <v>±7.47</v>
      </c>
      <c r="AU49" s="217" t="str">
        <f t="shared" si="53"/>
        <v>±0.23</v>
      </c>
      <c r="AV49" s="217" t="str">
        <f t="shared" si="53"/>
        <v>±1.38</v>
      </c>
      <c r="AW49" s="217" t="str">
        <f>"±" &amp; TEXT(_xlfn.STDEV.P(AW2:AW41)*100,"0.00")  &amp; "%"</f>
        <v>±552.37%</v>
      </c>
      <c r="AX49" s="217" t="str">
        <f t="shared" si="53"/>
        <v>±0.35</v>
      </c>
      <c r="AY49" s="236" t="str">
        <f>"±" &amp; TEXT(_xlfn.STDEV.P(AY2:AY41)*100,"0.00") &amp; "%"</f>
        <v>±105.06%</v>
      </c>
      <c r="AZ49" s="236" t="str">
        <f t="shared" ref="AZ49:BN49" si="55">"±" &amp; TEXT(_xlfn.STDEV.P(AZ2:AZ41)*100,"0.00") &amp; "%"</f>
        <v>±291.80%</v>
      </c>
      <c r="BA49" s="236" t="str">
        <f t="shared" si="55"/>
        <v>±9.68%</v>
      </c>
      <c r="BB49" s="236" t="str">
        <f t="shared" si="55"/>
        <v>±6.30%</v>
      </c>
      <c r="BC49" s="236" t="str">
        <f t="shared" si="55"/>
        <v>±7.22%</v>
      </c>
      <c r="BD49" s="236" t="str">
        <f t="shared" si="55"/>
        <v>±13.05%</v>
      </c>
      <c r="BE49" s="236" t="str">
        <f t="shared" si="55"/>
        <v>±13.83%</v>
      </c>
      <c r="BF49" s="236" t="str">
        <f t="shared" si="55"/>
        <v>±122.55%</v>
      </c>
      <c r="BG49" s="236" t="str">
        <f t="shared" si="55"/>
        <v>±2.80%</v>
      </c>
      <c r="BH49" s="236" t="str">
        <f t="shared" si="55"/>
        <v>±2.21%</v>
      </c>
      <c r="BI49" s="236" t="str">
        <f t="shared" si="55"/>
        <v>±3.44%</v>
      </c>
      <c r="BJ49" s="236" t="str">
        <f t="shared" si="55"/>
        <v>±4.60%</v>
      </c>
      <c r="BK49" s="236" t="str">
        <f t="shared" si="55"/>
        <v>±6.63%</v>
      </c>
      <c r="BL49" s="236" t="str">
        <f t="shared" si="55"/>
        <v>±1.37%</v>
      </c>
      <c r="BM49" s="236" t="str">
        <f t="shared" si="55"/>
        <v>±5.03%</v>
      </c>
      <c r="BN49" s="236" t="str">
        <f t="shared" si="55"/>
        <v>±6.01%</v>
      </c>
      <c r="BO49" s="217" t="str">
        <f t="shared" si="53"/>
        <v>±106.70</v>
      </c>
      <c r="BP49" s="217" t="str">
        <f t="shared" si="53"/>
        <v>±0.30</v>
      </c>
      <c r="BQ49" s="217" t="str">
        <f t="shared" si="53"/>
        <v>±0.51</v>
      </c>
      <c r="BR49" s="217" t="str">
        <f t="shared" si="53"/>
        <v>±0.14</v>
      </c>
      <c r="BS49" s="217" t="str">
        <f t="shared" si="53"/>
        <v>±7.83</v>
      </c>
      <c r="BT49" s="217" t="str">
        <f t="shared" ref="BT49" si="56">"±" &amp; TEXT(_xlfn.STDEV.P(BT2:BT41),"0.00")</f>
        <v>±4.66</v>
      </c>
    </row>
    <row r="52" spans="1:72" x14ac:dyDescent="0.3">
      <c r="BS52" s="230"/>
      <c r="BT52" s="230"/>
    </row>
  </sheetData>
  <mergeCells count="13">
    <mergeCell ref="AN1:AN49"/>
    <mergeCell ref="A42:A43"/>
    <mergeCell ref="B42:D42"/>
    <mergeCell ref="B43:D43"/>
    <mergeCell ref="A44:A45"/>
    <mergeCell ref="B44:D44"/>
    <mergeCell ref="B45:D45"/>
    <mergeCell ref="A46:A47"/>
    <mergeCell ref="B46:D46"/>
    <mergeCell ref="B47:D47"/>
    <mergeCell ref="A48:D49"/>
    <mergeCell ref="E1:E49"/>
    <mergeCell ref="AJ1:AJ49"/>
  </mergeCells>
  <hyperlinks>
    <hyperlink ref="AM33" r:id="rId1" display="https://dspace.uevora.pt/rdpc/bitstream/10174/36877/1/sea-lamprey-petromyzon-marinus-l-a-delicacy-with-high-gastronomic-impact-in-several-countries-of-western-europe-nutritional-composition-and-healthy-lipid-index- %281%29.pdf?utm_source=chatgpt.com" xr:uid="{58FB78BE-1AA6-4BD4-B7D5-385AE344FAC1}"/>
    <hyperlink ref="AM39" r:id="rId2" tooltip="Persistent link using digital object identifier" display="https://doi.org/10.1016/j.focha.2024.100637" xr:uid="{31D64315-91EC-4A28-8684-E50030E8DEDE}"/>
    <hyperlink ref="AM38" r:id="rId3" display="https://doi.org/10.1111/ijfs.12578" xr:uid="{78CFA86B-4594-4B5D-B9AB-4093127592C9}"/>
    <hyperlink ref="AM40" r:id="rId4" tooltip="Persistent link using digital object identifier" display="https://doi.org/10.1016/j.focha.2024.100637" xr:uid="{A7F72706-A3EF-4504-9017-C1133F8B2201}"/>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56FF7-8609-49A8-A20E-2A4C65A8915C}">
  <dimension ref="A1:BQ44"/>
  <sheetViews>
    <sheetView topLeftCell="A8" zoomScale="70" zoomScaleNormal="70" workbookViewId="0">
      <selection activeCell="AK21" sqref="AK21"/>
    </sheetView>
  </sheetViews>
  <sheetFormatPr defaultRowHeight="14.4" x14ac:dyDescent="0.3"/>
  <cols>
    <col min="1" max="1" width="8.88671875" customWidth="1"/>
    <col min="2" max="2" width="14.44140625" customWidth="1"/>
    <col min="3" max="3" width="21" customWidth="1"/>
    <col min="4" max="4" width="28" customWidth="1"/>
    <col min="34" max="34" width="8.88671875" customWidth="1"/>
    <col min="35" max="35" width="11.6640625" style="222" customWidth="1"/>
    <col min="36" max="36" width="11.33203125" style="222" customWidth="1"/>
    <col min="37" max="37" width="36.33203125" style="223" customWidth="1"/>
    <col min="38" max="38" width="14.33203125" customWidth="1"/>
    <col min="39" max="43" width="13.33203125" customWidth="1"/>
    <col min="44" max="44" width="14.33203125" customWidth="1"/>
    <col min="45" max="45" width="12.88671875" customWidth="1"/>
    <col min="46" max="46" width="13.88671875" style="222" customWidth="1"/>
    <col min="47" max="47" width="16" style="222" customWidth="1"/>
    <col min="48" max="48" width="10.88671875" customWidth="1"/>
    <col min="49" max="57" width="13" customWidth="1"/>
    <col min="58" max="64" width="10.109375" customWidth="1"/>
    <col min="65" max="65" width="11.5546875" customWidth="1"/>
    <col min="66" max="67" width="12.88671875" customWidth="1"/>
    <col min="68" max="68" width="19.44140625" customWidth="1"/>
    <col min="69" max="69" width="18.44140625" customWidth="1"/>
  </cols>
  <sheetData>
    <row r="1" spans="1:69" ht="49.5" customHeight="1" thickBot="1" x14ac:dyDescent="0.35">
      <c r="A1" s="1" t="s">
        <v>0</v>
      </c>
      <c r="B1" s="1" t="s">
        <v>1</v>
      </c>
      <c r="C1" s="2" t="s">
        <v>2</v>
      </c>
      <c r="D1" s="3" t="s">
        <v>3</v>
      </c>
      <c r="E1" s="4" t="s">
        <v>5</v>
      </c>
      <c r="F1" s="5" t="s">
        <v>6</v>
      </c>
      <c r="G1" s="5" t="s">
        <v>7</v>
      </c>
      <c r="H1" s="5" t="s">
        <v>8</v>
      </c>
      <c r="I1" s="5" t="s">
        <v>9</v>
      </c>
      <c r="J1" s="5" t="s">
        <v>10</v>
      </c>
      <c r="K1" s="5" t="s">
        <v>11</v>
      </c>
      <c r="L1" s="5" t="s">
        <v>12</v>
      </c>
      <c r="M1" s="5" t="s">
        <v>13</v>
      </c>
      <c r="N1" s="5" t="s">
        <v>14</v>
      </c>
      <c r="O1" s="5" t="s">
        <v>15</v>
      </c>
      <c r="P1" s="5" t="s">
        <v>16</v>
      </c>
      <c r="Q1" s="5" t="s">
        <v>17</v>
      </c>
      <c r="R1" s="5" t="s">
        <v>18</v>
      </c>
      <c r="S1" s="5" t="s">
        <v>19</v>
      </c>
      <c r="T1" s="5" t="s">
        <v>20</v>
      </c>
      <c r="U1" s="5" t="s">
        <v>21</v>
      </c>
      <c r="V1" s="5" t="s">
        <v>22</v>
      </c>
      <c r="W1" s="5" t="s">
        <v>23</v>
      </c>
      <c r="X1" s="5" t="s">
        <v>24</v>
      </c>
      <c r="Y1" s="5" t="s">
        <v>25</v>
      </c>
      <c r="Z1" s="5" t="s">
        <v>26</v>
      </c>
      <c r="AA1" s="5" t="s">
        <v>27</v>
      </c>
      <c r="AB1" s="5" t="s">
        <v>28</v>
      </c>
      <c r="AC1" s="5" t="s">
        <v>29</v>
      </c>
      <c r="AD1" s="4" t="s">
        <v>30</v>
      </c>
      <c r="AE1" s="4" t="s">
        <v>31</v>
      </c>
      <c r="AF1" s="4" t="s">
        <v>32</v>
      </c>
      <c r="AG1" s="4" t="s">
        <v>33</v>
      </c>
      <c r="AH1" s="4" t="s">
        <v>34</v>
      </c>
      <c r="AI1" s="4" t="s">
        <v>36</v>
      </c>
      <c r="AJ1" s="4" t="s">
        <v>37</v>
      </c>
      <c r="AK1" s="4" t="s">
        <v>38</v>
      </c>
      <c r="AL1" s="4" t="s">
        <v>40</v>
      </c>
      <c r="AM1" s="4" t="s">
        <v>41</v>
      </c>
      <c r="AN1" s="4" t="s">
        <v>42</v>
      </c>
      <c r="AO1" s="4" t="s">
        <v>43</v>
      </c>
      <c r="AP1" s="4" t="s">
        <v>44</v>
      </c>
      <c r="AQ1" s="4" t="s">
        <v>45</v>
      </c>
      <c r="AR1" s="4" t="s">
        <v>46</v>
      </c>
      <c r="AS1" s="4" t="s">
        <v>47</v>
      </c>
      <c r="AT1" s="4" t="s">
        <v>48</v>
      </c>
      <c r="AU1" s="4" t="s">
        <v>49</v>
      </c>
      <c r="AV1" s="4" t="s">
        <v>50</v>
      </c>
      <c r="AW1" s="4" t="s">
        <v>51</v>
      </c>
      <c r="AX1" s="4" t="s">
        <v>52</v>
      </c>
      <c r="AY1" s="4" t="s">
        <v>53</v>
      </c>
      <c r="AZ1" s="4" t="s">
        <v>54</v>
      </c>
      <c r="BA1" s="4" t="s">
        <v>55</v>
      </c>
      <c r="BB1" s="4" t="s">
        <v>56</v>
      </c>
      <c r="BC1" s="4" t="s">
        <v>57</v>
      </c>
      <c r="BD1" s="4" t="s">
        <v>58</v>
      </c>
      <c r="BE1" s="4" t="s">
        <v>59</v>
      </c>
      <c r="BF1" s="4" t="s">
        <v>60</v>
      </c>
      <c r="BG1" s="4" t="s">
        <v>61</v>
      </c>
      <c r="BH1" s="4" t="s">
        <v>62</v>
      </c>
      <c r="BI1" s="4" t="s">
        <v>63</v>
      </c>
      <c r="BJ1" s="4" t="s">
        <v>64</v>
      </c>
      <c r="BK1" s="4" t="s">
        <v>65</v>
      </c>
      <c r="BL1" s="4" t="s">
        <v>66</v>
      </c>
      <c r="BM1" s="4" t="s">
        <v>67</v>
      </c>
      <c r="BN1" s="4" t="s">
        <v>68</v>
      </c>
      <c r="BO1" s="4" t="s">
        <v>69</v>
      </c>
      <c r="BP1" s="4" t="s">
        <v>171</v>
      </c>
      <c r="BQ1" s="4" t="s">
        <v>172</v>
      </c>
    </row>
    <row r="2" spans="1:69" x14ac:dyDescent="0.3">
      <c r="A2" s="13">
        <v>0</v>
      </c>
      <c r="B2" s="14">
        <v>800</v>
      </c>
      <c r="C2" s="15" t="s">
        <v>70</v>
      </c>
      <c r="D2" s="16" t="s">
        <v>71</v>
      </c>
      <c r="E2" s="17">
        <v>70</v>
      </c>
      <c r="F2" s="18">
        <v>0.1</v>
      </c>
      <c r="G2" s="18">
        <v>0</v>
      </c>
      <c r="H2" s="18">
        <v>0</v>
      </c>
      <c r="I2" s="18">
        <v>0</v>
      </c>
      <c r="J2" s="18">
        <v>0</v>
      </c>
      <c r="K2" s="18">
        <v>0</v>
      </c>
      <c r="L2" s="18">
        <v>17.2</v>
      </c>
      <c r="M2" s="18">
        <v>0.2</v>
      </c>
      <c r="N2" s="18">
        <v>81.5</v>
      </c>
      <c r="O2" s="19">
        <v>22</v>
      </c>
      <c r="P2" s="19">
        <v>1</v>
      </c>
      <c r="Q2" s="18">
        <v>0.4</v>
      </c>
      <c r="R2" s="18">
        <v>0.04</v>
      </c>
      <c r="S2" s="18">
        <v>0.03</v>
      </c>
      <c r="T2" s="18">
        <v>0.03</v>
      </c>
      <c r="U2" s="18">
        <v>0.56000000000000005</v>
      </c>
      <c r="V2" s="18">
        <v>3.8</v>
      </c>
      <c r="W2" s="19">
        <v>192</v>
      </c>
      <c r="X2" s="18">
        <v>0.06</v>
      </c>
      <c r="Y2" s="18">
        <v>0.44</v>
      </c>
      <c r="Z2" s="18">
        <v>12</v>
      </c>
      <c r="AA2" s="18">
        <v>1.1000000000000001</v>
      </c>
      <c r="AB2" s="19">
        <v>63</v>
      </c>
      <c r="AC2" s="19">
        <v>360</v>
      </c>
      <c r="AD2" s="17">
        <v>11</v>
      </c>
      <c r="AE2" s="17">
        <v>230</v>
      </c>
      <c r="AF2" s="17">
        <v>28</v>
      </c>
      <c r="AG2" s="20">
        <v>0.2</v>
      </c>
      <c r="AH2" s="240">
        <v>0.5</v>
      </c>
      <c r="AI2" s="22">
        <v>4.2000000000000003E-2</v>
      </c>
      <c r="AJ2" s="23">
        <v>8.8999999999999996E-2</v>
      </c>
      <c r="AK2" s="24" t="s">
        <v>72</v>
      </c>
      <c r="AL2" s="25">
        <f t="shared" ref="AL2:AL41" si="0">F2*9</f>
        <v>0.9</v>
      </c>
      <c r="AM2" s="26">
        <v>0</v>
      </c>
      <c r="AN2" s="26">
        <v>0</v>
      </c>
      <c r="AO2" s="26">
        <v>0</v>
      </c>
      <c r="AP2" s="27">
        <v>0</v>
      </c>
      <c r="AQ2" s="26">
        <f t="shared" ref="AQ2:AQ41" si="1">L2*4</f>
        <v>68.8</v>
      </c>
      <c r="AR2" s="28">
        <f t="shared" ref="AR2:AR41" si="2">AQ2/(AQ2+AL2)</f>
        <v>0.98708751793400273</v>
      </c>
      <c r="AS2" s="29">
        <f t="shared" ref="AS2:AS41" si="3">AI2+AJ2</f>
        <v>0.13100000000000001</v>
      </c>
      <c r="AT2" s="30">
        <f>(AS2/0.25)</f>
        <v>0.52400000000000002</v>
      </c>
      <c r="AU2" s="27">
        <f t="shared" ref="AU2:AU15" si="4">AI2/AJ2</f>
        <v>0.4719101123595506</v>
      </c>
      <c r="AV2" s="31">
        <f t="shared" ref="AV2:AV41" si="5">P2/800</f>
        <v>1.25E-3</v>
      </c>
      <c r="AW2" s="31">
        <f t="shared" ref="AW2:AW41" si="6">Q2/5</f>
        <v>0.08</v>
      </c>
      <c r="AX2" s="31">
        <f t="shared" ref="AX2:AX41" si="7">R2/12</f>
        <v>3.3333333333333335E-3</v>
      </c>
      <c r="AY2" s="31">
        <f t="shared" ref="AY2:AY41" si="8">S2/1.1</f>
        <v>2.7272727272727268E-2</v>
      </c>
      <c r="AZ2" s="31">
        <f t="shared" ref="AZ2:AZ41" si="9">T2/1.4</f>
        <v>2.1428571428571429E-2</v>
      </c>
      <c r="BA2" s="31">
        <f t="shared" ref="BA2:BA41" si="10">U2/16</f>
        <v>3.5000000000000003E-2</v>
      </c>
      <c r="BB2" s="31">
        <f t="shared" ref="BB2:BB41" si="11">X2/1.4</f>
        <v>4.2857142857142858E-2</v>
      </c>
      <c r="BC2" s="31">
        <f t="shared" ref="BC2:BC41" si="12">Y2/2.5</f>
        <v>0.17599999999999999</v>
      </c>
      <c r="BD2" s="31">
        <f t="shared" ref="BD2:BD41" si="13">Z2/200</f>
        <v>0.06</v>
      </c>
      <c r="BE2" s="31">
        <f t="shared" ref="BE2:BE41" si="14">AB2/2400</f>
        <v>2.6249999999999999E-2</v>
      </c>
      <c r="BF2" s="31">
        <f t="shared" ref="BF2:BF41" si="15">AC2/2000</f>
        <v>0.18</v>
      </c>
      <c r="BG2" s="31">
        <f t="shared" ref="BG2:BG41" si="16">AD2/800</f>
        <v>1.375E-2</v>
      </c>
      <c r="BH2" s="31">
        <f t="shared" ref="BH2:BH41" si="17">AE2/700</f>
        <v>0.32857142857142857</v>
      </c>
      <c r="BI2" s="31">
        <f t="shared" ref="BI2:BI41" si="18">AF2/375</f>
        <v>7.4666666666666673E-2</v>
      </c>
      <c r="BJ2" s="31">
        <f t="shared" ref="BJ2:BJ41" si="19">AG2/14</f>
        <v>1.4285714285714287E-2</v>
      </c>
      <c r="BK2" s="31">
        <f t="shared" ref="BK2:BK41" si="20">AH2/10</f>
        <v>0.05</v>
      </c>
      <c r="BL2" s="32">
        <f t="shared" ref="BL2:BL41" si="21">(((L2/50)+AV2+AX2+BG2+BJ2+BI2+BF2)-((G2/20)+BE2))*100</f>
        <v>60.503571428571426</v>
      </c>
      <c r="BM2" s="32">
        <f t="shared" ref="BM2:BM41" si="22">AB2/AC2</f>
        <v>0.17499999999999999</v>
      </c>
      <c r="BN2" s="32">
        <f t="shared" ref="BN2:BN41" si="23">AG2/AH2</f>
        <v>0.4</v>
      </c>
      <c r="BO2" s="32">
        <f t="shared" ref="BO2:BO41" si="24">AD2/AE2</f>
        <v>4.7826086956521741E-2</v>
      </c>
      <c r="BP2" s="32">
        <v>1.0649047619047618</v>
      </c>
      <c r="BQ2" s="32">
        <v>1.5212925170068026</v>
      </c>
    </row>
    <row r="3" spans="1:69" x14ac:dyDescent="0.3">
      <c r="A3" s="13">
        <v>0</v>
      </c>
      <c r="B3" s="14">
        <v>802</v>
      </c>
      <c r="C3" s="15" t="s">
        <v>73</v>
      </c>
      <c r="D3" s="16" t="s">
        <v>74</v>
      </c>
      <c r="E3" s="33">
        <v>76</v>
      </c>
      <c r="F3" s="34">
        <v>0.5</v>
      </c>
      <c r="G3" s="34">
        <v>0.1</v>
      </c>
      <c r="H3" s="34">
        <v>0.1</v>
      </c>
      <c r="I3" s="34">
        <v>0.2</v>
      </c>
      <c r="J3" s="34">
        <v>0</v>
      </c>
      <c r="K3" s="34">
        <v>0</v>
      </c>
      <c r="L3" s="34">
        <v>17.8</v>
      </c>
      <c r="M3" s="34">
        <v>0.2</v>
      </c>
      <c r="N3" s="34">
        <v>80</v>
      </c>
      <c r="O3" s="35">
        <v>44</v>
      </c>
      <c r="P3" s="35">
        <v>7</v>
      </c>
      <c r="Q3" s="34">
        <v>1</v>
      </c>
      <c r="R3" s="34">
        <v>0.6</v>
      </c>
      <c r="S3" s="34">
        <v>0.06</v>
      </c>
      <c r="T3" s="34">
        <v>0.04</v>
      </c>
      <c r="U3" s="34">
        <v>2.2999999999999998</v>
      </c>
      <c r="V3" s="34">
        <v>5.6</v>
      </c>
      <c r="W3" s="35">
        <v>198</v>
      </c>
      <c r="X3" s="34">
        <v>0.21</v>
      </c>
      <c r="Y3" s="34">
        <v>1</v>
      </c>
      <c r="Z3" s="34">
        <v>10</v>
      </c>
      <c r="AA3" s="34">
        <v>1.4</v>
      </c>
      <c r="AB3" s="35">
        <v>65</v>
      </c>
      <c r="AC3" s="35">
        <v>360</v>
      </c>
      <c r="AD3" s="33">
        <v>15</v>
      </c>
      <c r="AE3" s="33">
        <v>200</v>
      </c>
      <c r="AF3" s="33">
        <v>26</v>
      </c>
      <c r="AG3" s="36">
        <v>0.3</v>
      </c>
      <c r="AH3" s="34">
        <v>0.5</v>
      </c>
      <c r="AI3" s="38">
        <v>7.0000000000000007E-2</v>
      </c>
      <c r="AJ3" s="39">
        <v>0.17</v>
      </c>
      <c r="AK3" s="40" t="s">
        <v>75</v>
      </c>
      <c r="AL3" s="41">
        <f t="shared" si="0"/>
        <v>4.5</v>
      </c>
      <c r="AM3" s="42">
        <f t="shared" ref="AM3:AM36" si="25">H3/I3</f>
        <v>0.5</v>
      </c>
      <c r="AN3" s="42">
        <f t="shared" ref="AN3:AN41" si="26">G3/I3</f>
        <v>0.5</v>
      </c>
      <c r="AO3" s="42">
        <f>G3/H3</f>
        <v>1</v>
      </c>
      <c r="AP3" s="42">
        <f>I3/G3</f>
        <v>2</v>
      </c>
      <c r="AQ3" s="43">
        <f t="shared" si="1"/>
        <v>71.2</v>
      </c>
      <c r="AR3" s="44">
        <f t="shared" si="2"/>
        <v>0.94055482166446502</v>
      </c>
      <c r="AS3" s="45">
        <f t="shared" si="3"/>
        <v>0.24000000000000002</v>
      </c>
      <c r="AT3" s="46">
        <f>(AS3/0.25)</f>
        <v>0.96000000000000008</v>
      </c>
      <c r="AU3" s="42">
        <f t="shared" si="4"/>
        <v>0.41176470588235298</v>
      </c>
      <c r="AV3" s="47">
        <f t="shared" si="5"/>
        <v>8.7500000000000008E-3</v>
      </c>
      <c r="AW3" s="47">
        <f t="shared" si="6"/>
        <v>0.2</v>
      </c>
      <c r="AX3" s="47">
        <f t="shared" si="7"/>
        <v>4.9999999999999996E-2</v>
      </c>
      <c r="AY3" s="47">
        <f t="shared" si="8"/>
        <v>5.4545454545454536E-2</v>
      </c>
      <c r="AZ3" s="47">
        <f t="shared" si="9"/>
        <v>2.8571428571428574E-2</v>
      </c>
      <c r="BA3" s="47">
        <f t="shared" si="10"/>
        <v>0.14374999999999999</v>
      </c>
      <c r="BB3" s="47">
        <f t="shared" si="11"/>
        <v>0.15</v>
      </c>
      <c r="BC3" s="47">
        <f t="shared" si="12"/>
        <v>0.4</v>
      </c>
      <c r="BD3" s="47">
        <f t="shared" si="13"/>
        <v>0.05</v>
      </c>
      <c r="BE3" s="47">
        <f t="shared" si="14"/>
        <v>2.7083333333333334E-2</v>
      </c>
      <c r="BF3" s="47">
        <f t="shared" si="15"/>
        <v>0.18</v>
      </c>
      <c r="BG3" s="47">
        <f t="shared" si="16"/>
        <v>1.8749999999999999E-2</v>
      </c>
      <c r="BH3" s="47">
        <f t="shared" si="17"/>
        <v>0.2857142857142857</v>
      </c>
      <c r="BI3" s="47">
        <f t="shared" si="18"/>
        <v>6.933333333333333E-2</v>
      </c>
      <c r="BJ3" s="47">
        <f t="shared" si="19"/>
        <v>2.1428571428571429E-2</v>
      </c>
      <c r="BK3" s="47">
        <f t="shared" si="20"/>
        <v>0.05</v>
      </c>
      <c r="BL3" s="48">
        <f t="shared" si="21"/>
        <v>67.217857142857142</v>
      </c>
      <c r="BM3" s="48">
        <f t="shared" si="22"/>
        <v>0.18055555555555555</v>
      </c>
      <c r="BN3" s="48">
        <f t="shared" si="23"/>
        <v>0.6</v>
      </c>
      <c r="BO3" s="48">
        <f t="shared" si="24"/>
        <v>7.4999999999999997E-2</v>
      </c>
      <c r="BP3" s="48">
        <v>1.8893333333333331</v>
      </c>
      <c r="BQ3" s="48">
        <v>2.4859649122807013</v>
      </c>
    </row>
    <row r="4" spans="1:69" x14ac:dyDescent="0.3">
      <c r="A4" s="13">
        <v>0</v>
      </c>
      <c r="B4" s="14">
        <v>1920000019</v>
      </c>
      <c r="C4" s="15" t="s">
        <v>76</v>
      </c>
      <c r="D4" s="16" t="s">
        <v>77</v>
      </c>
      <c r="E4" s="17">
        <v>102</v>
      </c>
      <c r="F4" s="18">
        <v>2.7</v>
      </c>
      <c r="G4" s="18">
        <v>0.7</v>
      </c>
      <c r="H4" s="18">
        <v>0.8</v>
      </c>
      <c r="I4" s="18">
        <v>0.7</v>
      </c>
      <c r="J4" s="18">
        <v>2.2499999999999999E-2</v>
      </c>
      <c r="K4" s="18">
        <v>0</v>
      </c>
      <c r="L4" s="18">
        <v>19.5</v>
      </c>
      <c r="M4" s="18">
        <v>0.3</v>
      </c>
      <c r="N4" s="18">
        <v>75.5</v>
      </c>
      <c r="O4" s="19">
        <v>57</v>
      </c>
      <c r="P4" s="19">
        <v>0</v>
      </c>
      <c r="Q4" s="18">
        <v>0</v>
      </c>
      <c r="R4" s="18">
        <v>1.1000000000000001</v>
      </c>
      <c r="S4" s="18">
        <v>7.0000000000000007E-2</v>
      </c>
      <c r="T4" s="18">
        <v>0</v>
      </c>
      <c r="U4" s="18">
        <v>2.4</v>
      </c>
      <c r="V4" s="18">
        <v>6.1</v>
      </c>
      <c r="W4" s="19">
        <v>222</v>
      </c>
      <c r="X4" s="18">
        <v>0.32</v>
      </c>
      <c r="Y4" s="18">
        <v>4.8</v>
      </c>
      <c r="Z4" s="18">
        <v>17</v>
      </c>
      <c r="AA4" s="18">
        <v>1.4</v>
      </c>
      <c r="AB4" s="19">
        <v>120</v>
      </c>
      <c r="AC4" s="19">
        <v>400</v>
      </c>
      <c r="AD4" s="17">
        <v>15</v>
      </c>
      <c r="AE4" s="17">
        <v>250</v>
      </c>
      <c r="AF4" s="17">
        <v>40</v>
      </c>
      <c r="AG4" s="20">
        <v>0.4</v>
      </c>
      <c r="AH4" s="18">
        <v>0.9</v>
      </c>
      <c r="AI4" s="22">
        <v>0.6</v>
      </c>
      <c r="AJ4" s="23">
        <v>0.9</v>
      </c>
      <c r="AK4" s="49" t="s">
        <v>78</v>
      </c>
      <c r="AL4" s="25">
        <f t="shared" si="0"/>
        <v>24.3</v>
      </c>
      <c r="AM4" s="27">
        <f t="shared" si="25"/>
        <v>1.142857142857143</v>
      </c>
      <c r="AN4" s="27">
        <f t="shared" si="26"/>
        <v>1</v>
      </c>
      <c r="AO4" s="27">
        <f>G4/H4</f>
        <v>0.87499999999999989</v>
      </c>
      <c r="AP4" s="27">
        <f>I4/G4</f>
        <v>1</v>
      </c>
      <c r="AQ4" s="26">
        <f t="shared" si="1"/>
        <v>78</v>
      </c>
      <c r="AR4" s="28">
        <f t="shared" si="2"/>
        <v>0.76246334310850439</v>
      </c>
      <c r="AS4" s="29">
        <f t="shared" si="3"/>
        <v>1.5</v>
      </c>
      <c r="AT4" s="30">
        <f t="shared" ref="AT4:AT41" si="27">(AS4/0.25)</f>
        <v>6</v>
      </c>
      <c r="AU4" s="27">
        <f t="shared" si="4"/>
        <v>0.66666666666666663</v>
      </c>
      <c r="AV4" s="31">
        <f t="shared" si="5"/>
        <v>0</v>
      </c>
      <c r="AW4" s="31">
        <f t="shared" si="6"/>
        <v>0</v>
      </c>
      <c r="AX4" s="31">
        <f t="shared" si="7"/>
        <v>9.1666666666666674E-2</v>
      </c>
      <c r="AY4" s="31">
        <f t="shared" si="8"/>
        <v>6.3636363636363644E-2</v>
      </c>
      <c r="AZ4" s="31">
        <f t="shared" si="9"/>
        <v>0</v>
      </c>
      <c r="BA4" s="31">
        <f t="shared" si="10"/>
        <v>0.15</v>
      </c>
      <c r="BB4" s="31">
        <f t="shared" si="11"/>
        <v>0.22857142857142859</v>
      </c>
      <c r="BC4" s="31">
        <f t="shared" si="12"/>
        <v>1.92</v>
      </c>
      <c r="BD4" s="31">
        <f t="shared" si="13"/>
        <v>8.5000000000000006E-2</v>
      </c>
      <c r="BE4" s="31">
        <f t="shared" si="14"/>
        <v>0.05</v>
      </c>
      <c r="BF4" s="31">
        <f t="shared" si="15"/>
        <v>0.2</v>
      </c>
      <c r="BG4" s="31">
        <f t="shared" si="16"/>
        <v>1.8749999999999999E-2</v>
      </c>
      <c r="BH4" s="31">
        <f t="shared" si="17"/>
        <v>0.35714285714285715</v>
      </c>
      <c r="BI4" s="31">
        <f t="shared" si="18"/>
        <v>0.10666666666666667</v>
      </c>
      <c r="BJ4" s="31">
        <f t="shared" si="19"/>
        <v>2.8571428571428574E-2</v>
      </c>
      <c r="BK4" s="31">
        <f t="shared" si="20"/>
        <v>0.09</v>
      </c>
      <c r="BL4" s="32">
        <f t="shared" si="21"/>
        <v>75.065476190476204</v>
      </c>
      <c r="BM4" s="32">
        <f t="shared" si="22"/>
        <v>0.3</v>
      </c>
      <c r="BN4" s="32">
        <f t="shared" si="23"/>
        <v>0.44444444444444448</v>
      </c>
      <c r="BO4" s="32">
        <f t="shared" si="24"/>
        <v>0.06</v>
      </c>
      <c r="BP4" s="32">
        <v>8.2988095238095241</v>
      </c>
      <c r="BQ4" s="32">
        <v>8.13608776844071</v>
      </c>
    </row>
    <row r="5" spans="1:69" x14ac:dyDescent="0.3">
      <c r="A5" s="13">
        <v>0</v>
      </c>
      <c r="B5" s="14">
        <v>815</v>
      </c>
      <c r="C5" s="15" t="s">
        <v>79</v>
      </c>
      <c r="D5" s="16" t="s">
        <v>80</v>
      </c>
      <c r="E5" s="33">
        <v>82</v>
      </c>
      <c r="F5" s="34">
        <v>0.2</v>
      </c>
      <c r="G5" s="34">
        <v>0</v>
      </c>
      <c r="H5" s="34">
        <v>0</v>
      </c>
      <c r="I5" s="34">
        <v>0.1</v>
      </c>
      <c r="J5" s="34">
        <v>0</v>
      </c>
      <c r="K5" s="34">
        <v>0</v>
      </c>
      <c r="L5" s="34">
        <v>20</v>
      </c>
      <c r="M5" s="34">
        <v>0.4</v>
      </c>
      <c r="N5" s="34">
        <v>79</v>
      </c>
      <c r="O5" s="35">
        <v>25</v>
      </c>
      <c r="P5" s="35">
        <v>3</v>
      </c>
      <c r="Q5" s="34">
        <v>0.4</v>
      </c>
      <c r="R5" s="34">
        <v>0.35</v>
      </c>
      <c r="S5" s="34">
        <v>0.04</v>
      </c>
      <c r="T5" s="34">
        <v>0.03</v>
      </c>
      <c r="U5" s="34">
        <v>1.9</v>
      </c>
      <c r="V5" s="34">
        <v>5.6</v>
      </c>
      <c r="W5" s="35">
        <v>222</v>
      </c>
      <c r="X5" s="34">
        <v>0.12</v>
      </c>
      <c r="Y5" s="34">
        <v>3.3</v>
      </c>
      <c r="Z5" s="34">
        <v>6.2</v>
      </c>
      <c r="AA5" s="34">
        <v>1.1000000000000001</v>
      </c>
      <c r="AB5" s="35">
        <v>170</v>
      </c>
      <c r="AC5" s="35">
        <v>290</v>
      </c>
      <c r="AD5" s="33">
        <v>14</v>
      </c>
      <c r="AE5" s="33">
        <v>190</v>
      </c>
      <c r="AF5" s="33">
        <v>32</v>
      </c>
      <c r="AG5" s="36">
        <v>0.1</v>
      </c>
      <c r="AH5" s="34">
        <v>0.3</v>
      </c>
      <c r="AI5" s="38">
        <v>0.4</v>
      </c>
      <c r="AJ5" s="39">
        <v>1</v>
      </c>
      <c r="AK5" s="40" t="s">
        <v>81</v>
      </c>
      <c r="AL5" s="41">
        <f t="shared" si="0"/>
        <v>1.8</v>
      </c>
      <c r="AM5" s="42">
        <f t="shared" si="25"/>
        <v>0</v>
      </c>
      <c r="AN5" s="42">
        <f t="shared" si="26"/>
        <v>0</v>
      </c>
      <c r="AO5" s="42">
        <v>0</v>
      </c>
      <c r="AP5" s="42">
        <v>0</v>
      </c>
      <c r="AQ5" s="43">
        <f t="shared" si="1"/>
        <v>80</v>
      </c>
      <c r="AR5" s="44">
        <f t="shared" si="2"/>
        <v>0.97799511002444994</v>
      </c>
      <c r="AS5" s="45">
        <f t="shared" si="3"/>
        <v>1.4</v>
      </c>
      <c r="AT5" s="46">
        <f t="shared" si="27"/>
        <v>5.6</v>
      </c>
      <c r="AU5" s="42">
        <f t="shared" si="4"/>
        <v>0.4</v>
      </c>
      <c r="AV5" s="47">
        <f t="shared" si="5"/>
        <v>3.7499999999999999E-3</v>
      </c>
      <c r="AW5" s="47">
        <f t="shared" si="6"/>
        <v>0.08</v>
      </c>
      <c r="AX5" s="47">
        <f t="shared" si="7"/>
        <v>2.9166666666666664E-2</v>
      </c>
      <c r="AY5" s="47">
        <f t="shared" si="8"/>
        <v>3.6363636363636362E-2</v>
      </c>
      <c r="AZ5" s="47">
        <f t="shared" si="9"/>
        <v>2.1428571428571429E-2</v>
      </c>
      <c r="BA5" s="47">
        <f t="shared" si="10"/>
        <v>0.11874999999999999</v>
      </c>
      <c r="BB5" s="47">
        <f t="shared" si="11"/>
        <v>8.5714285714285715E-2</v>
      </c>
      <c r="BC5" s="47">
        <f t="shared" si="12"/>
        <v>1.3199999999999998</v>
      </c>
      <c r="BD5" s="47">
        <f t="shared" si="13"/>
        <v>3.1E-2</v>
      </c>
      <c r="BE5" s="47">
        <f t="shared" si="14"/>
        <v>7.0833333333333331E-2</v>
      </c>
      <c r="BF5" s="47">
        <f t="shared" si="15"/>
        <v>0.14499999999999999</v>
      </c>
      <c r="BG5" s="47">
        <f t="shared" si="16"/>
        <v>1.7500000000000002E-2</v>
      </c>
      <c r="BH5" s="47">
        <f t="shared" si="17"/>
        <v>0.27142857142857141</v>
      </c>
      <c r="BI5" s="47">
        <f t="shared" si="18"/>
        <v>8.533333333333333E-2</v>
      </c>
      <c r="BJ5" s="47">
        <f t="shared" si="19"/>
        <v>7.1428571428571435E-3</v>
      </c>
      <c r="BK5" s="47">
        <f t="shared" si="20"/>
        <v>0.03</v>
      </c>
      <c r="BL5" s="48">
        <f t="shared" si="21"/>
        <v>61.70595238095239</v>
      </c>
      <c r="BM5" s="48">
        <f t="shared" si="22"/>
        <v>0.58620689655172409</v>
      </c>
      <c r="BN5" s="48">
        <f t="shared" si="23"/>
        <v>0.33333333333333337</v>
      </c>
      <c r="BO5" s="48">
        <f t="shared" si="24"/>
        <v>7.3684210526315783E-2</v>
      </c>
      <c r="BP5" s="48">
        <v>7.2242023809523799</v>
      </c>
      <c r="BQ5" s="48">
        <v>8.8100029036004628</v>
      </c>
    </row>
    <row r="6" spans="1:69" x14ac:dyDescent="0.3">
      <c r="A6" s="13">
        <v>0</v>
      </c>
      <c r="B6" s="14">
        <v>2120000014</v>
      </c>
      <c r="C6" s="15" t="s">
        <v>82</v>
      </c>
      <c r="D6" s="16" t="s">
        <v>83</v>
      </c>
      <c r="E6" s="17">
        <v>80</v>
      </c>
      <c r="F6" s="18">
        <v>0.7</v>
      </c>
      <c r="G6" s="18">
        <v>0.1</v>
      </c>
      <c r="H6" s="18">
        <v>0.1</v>
      </c>
      <c r="I6" s="18">
        <v>0.2</v>
      </c>
      <c r="J6" s="18">
        <v>0</v>
      </c>
      <c r="K6" s="18">
        <v>0</v>
      </c>
      <c r="L6" s="18">
        <v>18.3</v>
      </c>
      <c r="M6" s="18">
        <v>0.2</v>
      </c>
      <c r="N6" s="18">
        <v>79</v>
      </c>
      <c r="O6" s="19">
        <v>34</v>
      </c>
      <c r="P6" s="19">
        <v>0</v>
      </c>
      <c r="Q6" s="18">
        <v>0.9</v>
      </c>
      <c r="R6" s="18">
        <v>1.9</v>
      </c>
      <c r="S6" s="18">
        <v>0.02</v>
      </c>
      <c r="T6" s="18">
        <v>0.05</v>
      </c>
      <c r="U6" s="18">
        <v>1.5</v>
      </c>
      <c r="V6" s="18">
        <v>5</v>
      </c>
      <c r="W6" s="19">
        <v>210</v>
      </c>
      <c r="X6" s="18">
        <v>0.22</v>
      </c>
      <c r="Y6" s="18">
        <v>1.3</v>
      </c>
      <c r="Z6" s="18">
        <v>7</v>
      </c>
      <c r="AA6" s="18">
        <v>1.25</v>
      </c>
      <c r="AB6" s="19">
        <v>61</v>
      </c>
      <c r="AC6" s="19">
        <v>320</v>
      </c>
      <c r="AD6" s="17">
        <v>30</v>
      </c>
      <c r="AE6" s="17">
        <v>190</v>
      </c>
      <c r="AF6" s="17">
        <v>28</v>
      </c>
      <c r="AG6" s="20">
        <v>0.8</v>
      </c>
      <c r="AH6" s="18">
        <v>0.8</v>
      </c>
      <c r="AI6" s="22">
        <v>0.2</v>
      </c>
      <c r="AJ6" s="23">
        <v>0.4</v>
      </c>
      <c r="AK6" s="49" t="s">
        <v>78</v>
      </c>
      <c r="AL6" s="25">
        <f t="shared" si="0"/>
        <v>6.3</v>
      </c>
      <c r="AM6" s="27">
        <f t="shared" si="25"/>
        <v>0.5</v>
      </c>
      <c r="AN6" s="27">
        <f t="shared" si="26"/>
        <v>0.5</v>
      </c>
      <c r="AO6" s="27">
        <f t="shared" ref="AO6:AO14" si="28">G6/H6</f>
        <v>1</v>
      </c>
      <c r="AP6" s="27">
        <f t="shared" ref="AP6:AP14" si="29">I6/G6</f>
        <v>2</v>
      </c>
      <c r="AQ6" s="26">
        <f t="shared" si="1"/>
        <v>73.2</v>
      </c>
      <c r="AR6" s="28">
        <f t="shared" si="2"/>
        <v>0.92075471698113209</v>
      </c>
      <c r="AS6" s="29">
        <f t="shared" si="3"/>
        <v>0.60000000000000009</v>
      </c>
      <c r="AT6" s="30">
        <f t="shared" si="27"/>
        <v>2.4000000000000004</v>
      </c>
      <c r="AU6" s="27">
        <f t="shared" si="4"/>
        <v>0.5</v>
      </c>
      <c r="AV6" s="31">
        <f t="shared" si="5"/>
        <v>0</v>
      </c>
      <c r="AW6" s="31">
        <f t="shared" si="6"/>
        <v>0.18</v>
      </c>
      <c r="AX6" s="31">
        <f t="shared" si="7"/>
        <v>0.15833333333333333</v>
      </c>
      <c r="AY6" s="31">
        <f t="shared" si="8"/>
        <v>1.8181818181818181E-2</v>
      </c>
      <c r="AZ6" s="31">
        <f t="shared" si="9"/>
        <v>3.5714285714285719E-2</v>
      </c>
      <c r="BA6" s="31">
        <f t="shared" si="10"/>
        <v>9.375E-2</v>
      </c>
      <c r="BB6" s="31">
        <f t="shared" si="11"/>
        <v>0.15714285714285717</v>
      </c>
      <c r="BC6" s="31">
        <f t="shared" si="12"/>
        <v>0.52</v>
      </c>
      <c r="BD6" s="31">
        <f t="shared" si="13"/>
        <v>3.5000000000000003E-2</v>
      </c>
      <c r="BE6" s="31">
        <f t="shared" si="14"/>
        <v>2.5416666666666667E-2</v>
      </c>
      <c r="BF6" s="31">
        <f t="shared" si="15"/>
        <v>0.16</v>
      </c>
      <c r="BG6" s="31">
        <f t="shared" si="16"/>
        <v>3.7499999999999999E-2</v>
      </c>
      <c r="BH6" s="31">
        <f t="shared" si="17"/>
        <v>0.27142857142857141</v>
      </c>
      <c r="BI6" s="31">
        <f t="shared" si="18"/>
        <v>7.4666666666666673E-2</v>
      </c>
      <c r="BJ6" s="31">
        <f t="shared" si="19"/>
        <v>5.7142857142857148E-2</v>
      </c>
      <c r="BK6" s="31">
        <f t="shared" si="20"/>
        <v>0.08</v>
      </c>
      <c r="BL6" s="32">
        <f t="shared" si="21"/>
        <v>82.322619047619057</v>
      </c>
      <c r="BM6" s="32">
        <f t="shared" si="22"/>
        <v>0.19062499999999999</v>
      </c>
      <c r="BN6" s="32">
        <f t="shared" si="23"/>
        <v>1</v>
      </c>
      <c r="BO6" s="32">
        <f t="shared" si="24"/>
        <v>0.15789473684210525</v>
      </c>
      <c r="BP6" s="32">
        <v>3.5209166666666674</v>
      </c>
      <c r="BQ6" s="32">
        <v>4.4011458333333344</v>
      </c>
    </row>
    <row r="7" spans="1:69" x14ac:dyDescent="0.3">
      <c r="A7" s="13">
        <v>0</v>
      </c>
      <c r="B7" s="14">
        <v>902</v>
      </c>
      <c r="C7" s="15" t="s">
        <v>84</v>
      </c>
      <c r="D7" s="16" t="s">
        <v>85</v>
      </c>
      <c r="E7" s="33">
        <v>101</v>
      </c>
      <c r="F7" s="34">
        <v>2.9</v>
      </c>
      <c r="G7" s="34">
        <v>0.5</v>
      </c>
      <c r="H7" s="34">
        <v>0.9</v>
      </c>
      <c r="I7" s="34">
        <v>0.5</v>
      </c>
      <c r="J7" s="34">
        <v>0.4</v>
      </c>
      <c r="K7" s="34">
        <v>0</v>
      </c>
      <c r="L7" s="34">
        <v>18.600000000000001</v>
      </c>
      <c r="M7" s="34">
        <v>0.2</v>
      </c>
      <c r="N7" s="34">
        <v>77.3</v>
      </c>
      <c r="O7" s="35">
        <v>42</v>
      </c>
      <c r="P7" s="35">
        <v>20</v>
      </c>
      <c r="Q7" s="34">
        <v>2.2999999999999998</v>
      </c>
      <c r="R7" s="34">
        <v>1.2</v>
      </c>
      <c r="S7" s="34">
        <v>0.13</v>
      </c>
      <c r="T7" s="34">
        <v>0.09</v>
      </c>
      <c r="U7" s="34">
        <v>2.8</v>
      </c>
      <c r="V7" s="34">
        <v>6.3</v>
      </c>
      <c r="W7" s="35">
        <v>210</v>
      </c>
      <c r="X7" s="34">
        <v>0.18</v>
      </c>
      <c r="Y7" s="34">
        <v>2.2999999999999998</v>
      </c>
      <c r="Z7" s="34">
        <v>6</v>
      </c>
      <c r="AA7" s="34">
        <v>1.2</v>
      </c>
      <c r="AB7" s="35">
        <v>78</v>
      </c>
      <c r="AC7" s="35">
        <v>310</v>
      </c>
      <c r="AD7" s="33">
        <v>15</v>
      </c>
      <c r="AE7" s="33">
        <v>200</v>
      </c>
      <c r="AF7" s="33">
        <v>29</v>
      </c>
      <c r="AG7" s="36">
        <v>0.6</v>
      </c>
      <c r="AH7" s="34">
        <v>0.6</v>
      </c>
      <c r="AI7" s="38">
        <v>0.3</v>
      </c>
      <c r="AJ7" s="39">
        <v>0.3</v>
      </c>
      <c r="AK7" s="40" t="s">
        <v>81</v>
      </c>
      <c r="AL7" s="41">
        <f t="shared" si="0"/>
        <v>26.099999999999998</v>
      </c>
      <c r="AM7" s="42">
        <f t="shared" si="25"/>
        <v>1.8</v>
      </c>
      <c r="AN7" s="42">
        <f t="shared" si="26"/>
        <v>1</v>
      </c>
      <c r="AO7" s="42">
        <f t="shared" si="28"/>
        <v>0.55555555555555558</v>
      </c>
      <c r="AP7" s="42">
        <f t="shared" si="29"/>
        <v>1</v>
      </c>
      <c r="AQ7" s="43">
        <f t="shared" si="1"/>
        <v>74.400000000000006</v>
      </c>
      <c r="AR7" s="44">
        <f t="shared" si="2"/>
        <v>0.74029850746268666</v>
      </c>
      <c r="AS7" s="45">
        <f t="shared" si="3"/>
        <v>0.6</v>
      </c>
      <c r="AT7" s="46">
        <f t="shared" si="27"/>
        <v>2.4</v>
      </c>
      <c r="AU7" s="42">
        <f t="shared" si="4"/>
        <v>1</v>
      </c>
      <c r="AV7" s="47">
        <f t="shared" si="5"/>
        <v>2.5000000000000001E-2</v>
      </c>
      <c r="AW7" s="47">
        <f t="shared" si="6"/>
        <v>0.45999999999999996</v>
      </c>
      <c r="AX7" s="47">
        <f t="shared" si="7"/>
        <v>9.9999999999999992E-2</v>
      </c>
      <c r="AY7" s="47">
        <f t="shared" si="8"/>
        <v>0.11818181818181818</v>
      </c>
      <c r="AZ7" s="47">
        <f t="shared" si="9"/>
        <v>6.4285714285714293E-2</v>
      </c>
      <c r="BA7" s="47">
        <f t="shared" si="10"/>
        <v>0.17499999999999999</v>
      </c>
      <c r="BB7" s="47">
        <f t="shared" si="11"/>
        <v>0.12857142857142859</v>
      </c>
      <c r="BC7" s="47">
        <f t="shared" si="12"/>
        <v>0.91999999999999993</v>
      </c>
      <c r="BD7" s="47">
        <f t="shared" si="13"/>
        <v>0.03</v>
      </c>
      <c r="BE7" s="47">
        <f t="shared" si="14"/>
        <v>3.2500000000000001E-2</v>
      </c>
      <c r="BF7" s="47">
        <f t="shared" si="15"/>
        <v>0.155</v>
      </c>
      <c r="BG7" s="47">
        <f t="shared" si="16"/>
        <v>1.8749999999999999E-2</v>
      </c>
      <c r="BH7" s="47">
        <f t="shared" si="17"/>
        <v>0.2857142857142857</v>
      </c>
      <c r="BI7" s="47">
        <f t="shared" si="18"/>
        <v>7.7333333333333337E-2</v>
      </c>
      <c r="BJ7" s="47">
        <f t="shared" si="19"/>
        <v>4.2857142857142858E-2</v>
      </c>
      <c r="BK7" s="47">
        <f t="shared" si="20"/>
        <v>0.06</v>
      </c>
      <c r="BL7" s="48">
        <f t="shared" si="21"/>
        <v>73.344047619047629</v>
      </c>
      <c r="BM7" s="48">
        <f t="shared" si="22"/>
        <v>0.25161290322580643</v>
      </c>
      <c r="BN7" s="48">
        <f t="shared" si="23"/>
        <v>1</v>
      </c>
      <c r="BO7" s="48">
        <f t="shared" si="24"/>
        <v>7.4999999999999997E-2</v>
      </c>
      <c r="BP7" s="48">
        <v>4.1355476190476192</v>
      </c>
      <c r="BQ7" s="48">
        <v>4.0946016030174448</v>
      </c>
    </row>
    <row r="8" spans="1:69" x14ac:dyDescent="0.3">
      <c r="A8" s="13">
        <v>0</v>
      </c>
      <c r="B8" s="14">
        <v>896</v>
      </c>
      <c r="C8" s="15" t="s">
        <v>86</v>
      </c>
      <c r="D8" s="16" t="s">
        <v>87</v>
      </c>
      <c r="E8" s="17">
        <v>132</v>
      </c>
      <c r="F8" s="18">
        <v>6.7</v>
      </c>
      <c r="G8" s="18">
        <v>2</v>
      </c>
      <c r="H8" s="18">
        <v>2.2000000000000002</v>
      </c>
      <c r="I8" s="18">
        <v>0.9</v>
      </c>
      <c r="J8" s="18">
        <v>0.1</v>
      </c>
      <c r="K8" s="18">
        <v>0</v>
      </c>
      <c r="L8" s="18">
        <v>17.899999999999999</v>
      </c>
      <c r="M8" s="18">
        <v>0.3</v>
      </c>
      <c r="N8" s="18">
        <v>74.400000000000006</v>
      </c>
      <c r="O8" s="19">
        <v>47</v>
      </c>
      <c r="P8" s="19">
        <v>55</v>
      </c>
      <c r="Q8" s="18">
        <v>6.6</v>
      </c>
      <c r="R8" s="18">
        <v>2.6</v>
      </c>
      <c r="S8" s="18">
        <v>0.04</v>
      </c>
      <c r="T8" s="18">
        <v>0.03</v>
      </c>
      <c r="U8" s="18">
        <v>1.8</v>
      </c>
      <c r="V8" s="18">
        <v>5.0999999999999996</v>
      </c>
      <c r="W8" s="19">
        <v>198</v>
      </c>
      <c r="X8" s="18">
        <v>0.24</v>
      </c>
      <c r="Y8" s="18">
        <v>0.7</v>
      </c>
      <c r="Z8" s="18">
        <v>6</v>
      </c>
      <c r="AA8" s="18">
        <v>1.2</v>
      </c>
      <c r="AB8" s="19">
        <v>110</v>
      </c>
      <c r="AC8" s="19">
        <v>290</v>
      </c>
      <c r="AD8" s="17">
        <v>8</v>
      </c>
      <c r="AE8" s="17">
        <v>170</v>
      </c>
      <c r="AF8" s="17">
        <v>27</v>
      </c>
      <c r="AG8" s="20">
        <v>0.4</v>
      </c>
      <c r="AH8" s="18">
        <v>0.7</v>
      </c>
      <c r="AI8" s="22">
        <v>0.12</v>
      </c>
      <c r="AJ8" s="23">
        <v>0.24</v>
      </c>
      <c r="AK8" s="49" t="s">
        <v>75</v>
      </c>
      <c r="AL8" s="25">
        <f t="shared" si="0"/>
        <v>60.300000000000004</v>
      </c>
      <c r="AM8" s="27">
        <f t="shared" si="25"/>
        <v>2.4444444444444446</v>
      </c>
      <c r="AN8" s="27">
        <f t="shared" si="26"/>
        <v>2.2222222222222223</v>
      </c>
      <c r="AO8" s="27">
        <f t="shared" si="28"/>
        <v>0.90909090909090906</v>
      </c>
      <c r="AP8" s="27">
        <f t="shared" si="29"/>
        <v>0.45</v>
      </c>
      <c r="AQ8" s="26">
        <f t="shared" si="1"/>
        <v>71.599999999999994</v>
      </c>
      <c r="AR8" s="28">
        <f t="shared" si="2"/>
        <v>0.54283548142532212</v>
      </c>
      <c r="AS8" s="29">
        <f t="shared" si="3"/>
        <v>0.36</v>
      </c>
      <c r="AT8" s="30">
        <f t="shared" si="27"/>
        <v>1.44</v>
      </c>
      <c r="AU8" s="27">
        <f t="shared" si="4"/>
        <v>0.5</v>
      </c>
      <c r="AV8" s="31">
        <f t="shared" si="5"/>
        <v>6.8750000000000006E-2</v>
      </c>
      <c r="AW8" s="31">
        <f t="shared" si="6"/>
        <v>1.3199999999999998</v>
      </c>
      <c r="AX8" s="31">
        <f t="shared" si="7"/>
        <v>0.21666666666666667</v>
      </c>
      <c r="AY8" s="31">
        <f t="shared" si="8"/>
        <v>3.6363636363636362E-2</v>
      </c>
      <c r="AZ8" s="31">
        <f t="shared" si="9"/>
        <v>2.1428571428571429E-2</v>
      </c>
      <c r="BA8" s="31">
        <f t="shared" si="10"/>
        <v>0.1125</v>
      </c>
      <c r="BB8" s="31">
        <f t="shared" si="11"/>
        <v>0.17142857142857143</v>
      </c>
      <c r="BC8" s="31">
        <f t="shared" si="12"/>
        <v>0.27999999999999997</v>
      </c>
      <c r="BD8" s="31">
        <f t="shared" si="13"/>
        <v>0.03</v>
      </c>
      <c r="BE8" s="31">
        <f t="shared" si="14"/>
        <v>4.583333333333333E-2</v>
      </c>
      <c r="BF8" s="31">
        <f t="shared" si="15"/>
        <v>0.14499999999999999</v>
      </c>
      <c r="BG8" s="31">
        <f t="shared" si="16"/>
        <v>0.01</v>
      </c>
      <c r="BH8" s="31">
        <f t="shared" si="17"/>
        <v>0.24285714285714285</v>
      </c>
      <c r="BI8" s="31">
        <f t="shared" si="18"/>
        <v>7.1999999999999995E-2</v>
      </c>
      <c r="BJ8" s="31">
        <f t="shared" si="19"/>
        <v>2.8571428571428574E-2</v>
      </c>
      <c r="BK8" s="31">
        <f t="shared" si="20"/>
        <v>6.9999999999999993E-2</v>
      </c>
      <c r="BL8" s="32">
        <f t="shared" si="21"/>
        <v>75.315476190476176</v>
      </c>
      <c r="BM8" s="32">
        <f t="shared" si="22"/>
        <v>0.37931034482758619</v>
      </c>
      <c r="BN8" s="32">
        <f t="shared" si="23"/>
        <v>0.57142857142857151</v>
      </c>
      <c r="BO8" s="32">
        <f t="shared" si="24"/>
        <v>4.7058823529411764E-2</v>
      </c>
      <c r="BP8" s="32">
        <v>3.3146785714285709</v>
      </c>
      <c r="BQ8" s="32">
        <v>2.5111201298701293</v>
      </c>
    </row>
    <row r="9" spans="1:69" x14ac:dyDescent="0.3">
      <c r="A9" s="13">
        <v>0</v>
      </c>
      <c r="B9" s="14">
        <v>826</v>
      </c>
      <c r="C9" s="15" t="s">
        <v>88</v>
      </c>
      <c r="D9" s="16" t="s">
        <v>89</v>
      </c>
      <c r="E9" s="33">
        <v>94</v>
      </c>
      <c r="F9" s="34">
        <v>1.4</v>
      </c>
      <c r="G9" s="34">
        <v>0.3</v>
      </c>
      <c r="H9" s="34">
        <v>0.5</v>
      </c>
      <c r="I9" s="34">
        <v>0.2</v>
      </c>
      <c r="J9" s="34">
        <v>0</v>
      </c>
      <c r="K9" s="34">
        <v>0</v>
      </c>
      <c r="L9" s="34">
        <v>20.399999999999999</v>
      </c>
      <c r="M9" s="34">
        <v>0.1</v>
      </c>
      <c r="N9" s="34">
        <v>76.7</v>
      </c>
      <c r="O9" s="35">
        <v>50</v>
      </c>
      <c r="P9" s="35">
        <v>1</v>
      </c>
      <c r="Q9" s="34">
        <v>16</v>
      </c>
      <c r="R9" s="34">
        <v>0.45</v>
      </c>
      <c r="S9" s="34">
        <v>7.0000000000000007E-2</v>
      </c>
      <c r="T9" s="34">
        <v>0.14000000000000001</v>
      </c>
      <c r="U9" s="34">
        <v>2.7</v>
      </c>
      <c r="V9" s="34">
        <v>6.5</v>
      </c>
      <c r="W9" s="35">
        <v>228</v>
      </c>
      <c r="X9" s="34">
        <v>0.28999999999999998</v>
      </c>
      <c r="Y9" s="34">
        <v>0.3</v>
      </c>
      <c r="Z9" s="34">
        <v>12</v>
      </c>
      <c r="AA9" s="34">
        <v>1.2</v>
      </c>
      <c r="AB9" s="35">
        <v>56</v>
      </c>
      <c r="AC9" s="35">
        <v>430</v>
      </c>
      <c r="AD9" s="33">
        <v>13</v>
      </c>
      <c r="AE9" s="33">
        <v>230</v>
      </c>
      <c r="AF9" s="33">
        <v>31</v>
      </c>
      <c r="AG9" s="36">
        <v>0.3</v>
      </c>
      <c r="AH9" s="34">
        <v>0.5</v>
      </c>
      <c r="AI9" s="38">
        <v>0.12</v>
      </c>
      <c r="AJ9" s="39">
        <v>0.24</v>
      </c>
      <c r="AK9" s="40" t="s">
        <v>75</v>
      </c>
      <c r="AL9" s="41">
        <f t="shared" si="0"/>
        <v>12.6</v>
      </c>
      <c r="AM9" s="42">
        <f t="shared" si="25"/>
        <v>2.5</v>
      </c>
      <c r="AN9" s="42">
        <f t="shared" si="26"/>
        <v>1.4999999999999998</v>
      </c>
      <c r="AO9" s="42">
        <f t="shared" si="28"/>
        <v>0.6</v>
      </c>
      <c r="AP9" s="42">
        <f t="shared" si="29"/>
        <v>0.66666666666666674</v>
      </c>
      <c r="AQ9" s="43">
        <f t="shared" si="1"/>
        <v>81.599999999999994</v>
      </c>
      <c r="AR9" s="44">
        <f t="shared" si="2"/>
        <v>0.86624203821656054</v>
      </c>
      <c r="AS9" s="45">
        <f t="shared" si="3"/>
        <v>0.36</v>
      </c>
      <c r="AT9" s="46">
        <f t="shared" si="27"/>
        <v>1.44</v>
      </c>
      <c r="AU9" s="42">
        <f t="shared" si="4"/>
        <v>0.5</v>
      </c>
      <c r="AV9" s="47">
        <f t="shared" si="5"/>
        <v>1.25E-3</v>
      </c>
      <c r="AW9" s="47">
        <f t="shared" si="6"/>
        <v>3.2</v>
      </c>
      <c r="AX9" s="47">
        <f t="shared" si="7"/>
        <v>3.7499999999999999E-2</v>
      </c>
      <c r="AY9" s="47">
        <f t="shared" si="8"/>
        <v>6.3636363636363644E-2</v>
      </c>
      <c r="AZ9" s="47">
        <f t="shared" si="9"/>
        <v>0.10000000000000002</v>
      </c>
      <c r="BA9" s="47">
        <f t="shared" si="10"/>
        <v>0.16875000000000001</v>
      </c>
      <c r="BB9" s="47">
        <f t="shared" si="11"/>
        <v>0.20714285714285713</v>
      </c>
      <c r="BC9" s="47">
        <f t="shared" si="12"/>
        <v>0.12</v>
      </c>
      <c r="BD9" s="47">
        <f t="shared" si="13"/>
        <v>0.06</v>
      </c>
      <c r="BE9" s="47">
        <f t="shared" si="14"/>
        <v>2.3333333333333334E-2</v>
      </c>
      <c r="BF9" s="47">
        <f t="shared" si="15"/>
        <v>0.215</v>
      </c>
      <c r="BG9" s="47">
        <f t="shared" si="16"/>
        <v>1.6250000000000001E-2</v>
      </c>
      <c r="BH9" s="47">
        <f t="shared" si="17"/>
        <v>0.32857142857142857</v>
      </c>
      <c r="BI9" s="47">
        <f t="shared" si="18"/>
        <v>8.2666666666666666E-2</v>
      </c>
      <c r="BJ9" s="47">
        <f t="shared" si="19"/>
        <v>2.1428571428571429E-2</v>
      </c>
      <c r="BK9" s="47">
        <f t="shared" si="20"/>
        <v>0.05</v>
      </c>
      <c r="BL9" s="48">
        <f t="shared" si="21"/>
        <v>74.376190476190459</v>
      </c>
      <c r="BM9" s="48">
        <f t="shared" si="22"/>
        <v>0.13023255813953488</v>
      </c>
      <c r="BN9" s="48">
        <f t="shared" si="23"/>
        <v>0.6</v>
      </c>
      <c r="BO9" s="48">
        <f t="shared" si="24"/>
        <v>5.6521739130434782E-2</v>
      </c>
      <c r="BP9" s="48">
        <v>5.2324880952380948</v>
      </c>
      <c r="BQ9" s="48">
        <v>5.5664766970618027</v>
      </c>
    </row>
    <row r="10" spans="1:69" x14ac:dyDescent="0.3">
      <c r="A10" s="13">
        <v>0</v>
      </c>
      <c r="B10" s="14">
        <v>834</v>
      </c>
      <c r="C10" s="15" t="s">
        <v>90</v>
      </c>
      <c r="D10" s="16" t="s">
        <v>91</v>
      </c>
      <c r="E10" s="17">
        <v>97</v>
      </c>
      <c r="F10" s="18">
        <v>2.9</v>
      </c>
      <c r="G10" s="18">
        <v>0.7</v>
      </c>
      <c r="H10" s="18">
        <v>1.2</v>
      </c>
      <c r="I10" s="18">
        <v>0.5</v>
      </c>
      <c r="J10" s="18">
        <v>0</v>
      </c>
      <c r="K10" s="18">
        <v>0</v>
      </c>
      <c r="L10" s="18">
        <v>17.8</v>
      </c>
      <c r="M10" s="18">
        <v>0.2</v>
      </c>
      <c r="N10" s="18">
        <v>77.5</v>
      </c>
      <c r="O10" s="19">
        <v>45</v>
      </c>
      <c r="P10" s="19">
        <v>0</v>
      </c>
      <c r="Q10" s="18">
        <v>1.3</v>
      </c>
      <c r="R10" s="18">
        <v>0.09</v>
      </c>
      <c r="S10" s="18">
        <v>0.11</v>
      </c>
      <c r="T10" s="18">
        <v>0.04</v>
      </c>
      <c r="U10" s="18">
        <v>4.0999999999999996</v>
      </c>
      <c r="V10" s="18">
        <v>7.4</v>
      </c>
      <c r="W10" s="19">
        <v>198</v>
      </c>
      <c r="X10" s="18">
        <v>0.47</v>
      </c>
      <c r="Y10" s="18">
        <v>1.4</v>
      </c>
      <c r="Z10" s="18">
        <v>14</v>
      </c>
      <c r="AA10" s="18">
        <v>1.3</v>
      </c>
      <c r="AB10" s="19">
        <v>72</v>
      </c>
      <c r="AC10" s="19">
        <v>390</v>
      </c>
      <c r="AD10" s="17">
        <v>5</v>
      </c>
      <c r="AE10" s="17">
        <v>260</v>
      </c>
      <c r="AF10" s="17">
        <v>30</v>
      </c>
      <c r="AG10" s="20">
        <v>0.6</v>
      </c>
      <c r="AH10" s="18">
        <v>0.9</v>
      </c>
      <c r="AI10" s="22">
        <v>0.108</v>
      </c>
      <c r="AJ10" s="23">
        <v>0.64800000000000002</v>
      </c>
      <c r="AK10" s="24" t="s">
        <v>92</v>
      </c>
      <c r="AL10" s="25">
        <f t="shared" si="0"/>
        <v>26.099999999999998</v>
      </c>
      <c r="AM10" s="27">
        <f t="shared" si="25"/>
        <v>2.4</v>
      </c>
      <c r="AN10" s="27">
        <f t="shared" si="26"/>
        <v>1.4</v>
      </c>
      <c r="AO10" s="27">
        <f t="shared" si="28"/>
        <v>0.58333333333333337</v>
      </c>
      <c r="AP10" s="27">
        <f t="shared" si="29"/>
        <v>0.7142857142857143</v>
      </c>
      <c r="AQ10" s="26">
        <f t="shared" si="1"/>
        <v>71.2</v>
      </c>
      <c r="AR10" s="28">
        <f t="shared" si="2"/>
        <v>0.73175745118191171</v>
      </c>
      <c r="AS10" s="29">
        <f t="shared" si="3"/>
        <v>0.75600000000000001</v>
      </c>
      <c r="AT10" s="30">
        <f t="shared" si="27"/>
        <v>3.024</v>
      </c>
      <c r="AU10" s="27">
        <f t="shared" si="4"/>
        <v>0.16666666666666666</v>
      </c>
      <c r="AV10" s="31">
        <f t="shared" si="5"/>
        <v>0</v>
      </c>
      <c r="AW10" s="31">
        <f t="shared" si="6"/>
        <v>0.26</v>
      </c>
      <c r="AX10" s="31">
        <f t="shared" si="7"/>
        <v>7.4999999999999997E-3</v>
      </c>
      <c r="AY10" s="31">
        <f t="shared" si="8"/>
        <v>9.9999999999999992E-2</v>
      </c>
      <c r="AZ10" s="31">
        <f t="shared" si="9"/>
        <v>2.8571428571428574E-2</v>
      </c>
      <c r="BA10" s="31">
        <f t="shared" si="10"/>
        <v>0.25624999999999998</v>
      </c>
      <c r="BB10" s="31">
        <f t="shared" si="11"/>
        <v>0.33571428571428574</v>
      </c>
      <c r="BC10" s="31">
        <f t="shared" si="12"/>
        <v>0.55999999999999994</v>
      </c>
      <c r="BD10" s="31">
        <f t="shared" si="13"/>
        <v>7.0000000000000007E-2</v>
      </c>
      <c r="BE10" s="31">
        <f t="shared" si="14"/>
        <v>0.03</v>
      </c>
      <c r="BF10" s="31">
        <f t="shared" si="15"/>
        <v>0.19500000000000001</v>
      </c>
      <c r="BG10" s="31">
        <f t="shared" si="16"/>
        <v>6.2500000000000003E-3</v>
      </c>
      <c r="BH10" s="31">
        <f t="shared" si="17"/>
        <v>0.37142857142857144</v>
      </c>
      <c r="BI10" s="31">
        <f t="shared" si="18"/>
        <v>0.08</v>
      </c>
      <c r="BJ10" s="31">
        <f t="shared" si="19"/>
        <v>4.2857142857142858E-2</v>
      </c>
      <c r="BK10" s="31">
        <f t="shared" si="20"/>
        <v>0.09</v>
      </c>
      <c r="BL10" s="32">
        <f t="shared" si="21"/>
        <v>62.260714285714293</v>
      </c>
      <c r="BM10" s="32">
        <f t="shared" si="22"/>
        <v>0.18461538461538463</v>
      </c>
      <c r="BN10" s="32">
        <f t="shared" si="23"/>
        <v>0.66666666666666663</v>
      </c>
      <c r="BO10" s="32">
        <f t="shared" si="24"/>
        <v>1.9230769230769232E-2</v>
      </c>
      <c r="BP10" s="32">
        <v>4.4011428571428572</v>
      </c>
      <c r="BQ10" s="32">
        <v>4.5372606774668629</v>
      </c>
    </row>
    <row r="11" spans="1:69" x14ac:dyDescent="0.3">
      <c r="A11" s="13">
        <v>0</v>
      </c>
      <c r="B11" s="14">
        <v>2120000015</v>
      </c>
      <c r="C11" s="15" t="s">
        <v>93</v>
      </c>
      <c r="D11" s="16" t="s">
        <v>94</v>
      </c>
      <c r="E11" s="33">
        <v>82</v>
      </c>
      <c r="F11" s="34">
        <v>0.6</v>
      </c>
      <c r="G11" s="34">
        <v>0.1</v>
      </c>
      <c r="H11" s="34">
        <v>0.1</v>
      </c>
      <c r="I11" s="34">
        <v>0.2</v>
      </c>
      <c r="J11" s="34">
        <v>0</v>
      </c>
      <c r="K11" s="34">
        <v>0</v>
      </c>
      <c r="L11" s="34">
        <v>19</v>
      </c>
      <c r="M11" s="34">
        <v>0.2</v>
      </c>
      <c r="N11" s="34">
        <v>78.8</v>
      </c>
      <c r="O11" s="35">
        <v>60</v>
      </c>
      <c r="P11" s="35">
        <v>0</v>
      </c>
      <c r="Q11" s="34">
        <v>1</v>
      </c>
      <c r="R11" s="34">
        <v>0.6</v>
      </c>
      <c r="S11" s="34">
        <v>0.02</v>
      </c>
      <c r="T11" s="34">
        <v>0.05</v>
      </c>
      <c r="U11" s="34">
        <v>1.8</v>
      </c>
      <c r="V11" s="34">
        <v>5.0999999999999996</v>
      </c>
      <c r="W11" s="35">
        <v>198</v>
      </c>
      <c r="X11" s="34">
        <v>0.21</v>
      </c>
      <c r="Y11" s="34">
        <v>1</v>
      </c>
      <c r="Z11" s="34">
        <v>10</v>
      </c>
      <c r="AA11" s="34">
        <v>1.22</v>
      </c>
      <c r="AB11" s="35">
        <v>68</v>
      </c>
      <c r="AC11" s="35">
        <v>530</v>
      </c>
      <c r="AD11" s="33">
        <v>25</v>
      </c>
      <c r="AE11" s="33">
        <v>80</v>
      </c>
      <c r="AF11" s="33">
        <v>24</v>
      </c>
      <c r="AG11" s="36">
        <v>0.6</v>
      </c>
      <c r="AH11" s="34">
        <v>0.2</v>
      </c>
      <c r="AI11" s="38">
        <v>0.12</v>
      </c>
      <c r="AJ11" s="39">
        <v>0.24</v>
      </c>
      <c r="AK11" s="40" t="s">
        <v>75</v>
      </c>
      <c r="AL11" s="41">
        <f t="shared" si="0"/>
        <v>5.3999999999999995</v>
      </c>
      <c r="AM11" s="42">
        <f t="shared" si="25"/>
        <v>0.5</v>
      </c>
      <c r="AN11" s="42">
        <f t="shared" si="26"/>
        <v>0.5</v>
      </c>
      <c r="AO11" s="42">
        <f t="shared" si="28"/>
        <v>1</v>
      </c>
      <c r="AP11" s="42">
        <f t="shared" si="29"/>
        <v>2</v>
      </c>
      <c r="AQ11" s="43">
        <f t="shared" si="1"/>
        <v>76</v>
      </c>
      <c r="AR11" s="44">
        <f t="shared" si="2"/>
        <v>0.93366093366093361</v>
      </c>
      <c r="AS11" s="45">
        <f t="shared" si="3"/>
        <v>0.36</v>
      </c>
      <c r="AT11" s="46">
        <f t="shared" si="27"/>
        <v>1.44</v>
      </c>
      <c r="AU11" s="42">
        <f t="shared" si="4"/>
        <v>0.5</v>
      </c>
      <c r="AV11" s="47">
        <f t="shared" si="5"/>
        <v>0</v>
      </c>
      <c r="AW11" s="47">
        <f t="shared" si="6"/>
        <v>0.2</v>
      </c>
      <c r="AX11" s="47">
        <f t="shared" si="7"/>
        <v>4.9999999999999996E-2</v>
      </c>
      <c r="AY11" s="47">
        <f t="shared" si="8"/>
        <v>1.8181818181818181E-2</v>
      </c>
      <c r="AZ11" s="47">
        <f t="shared" si="9"/>
        <v>3.5714285714285719E-2</v>
      </c>
      <c r="BA11" s="47">
        <f t="shared" si="10"/>
        <v>0.1125</v>
      </c>
      <c r="BB11" s="47">
        <f t="shared" si="11"/>
        <v>0.15</v>
      </c>
      <c r="BC11" s="47">
        <f t="shared" si="12"/>
        <v>0.4</v>
      </c>
      <c r="BD11" s="47">
        <f t="shared" si="13"/>
        <v>0.05</v>
      </c>
      <c r="BE11" s="47">
        <f t="shared" si="14"/>
        <v>2.8333333333333332E-2</v>
      </c>
      <c r="BF11" s="47">
        <f t="shared" si="15"/>
        <v>0.26500000000000001</v>
      </c>
      <c r="BG11" s="47">
        <f t="shared" si="16"/>
        <v>3.125E-2</v>
      </c>
      <c r="BH11" s="47">
        <f t="shared" si="17"/>
        <v>0.11428571428571428</v>
      </c>
      <c r="BI11" s="47">
        <f t="shared" si="18"/>
        <v>6.4000000000000001E-2</v>
      </c>
      <c r="BJ11" s="47">
        <f t="shared" si="19"/>
        <v>4.2857142857142858E-2</v>
      </c>
      <c r="BK11" s="47">
        <f t="shared" si="20"/>
        <v>0.02</v>
      </c>
      <c r="BL11" s="48">
        <f t="shared" si="21"/>
        <v>79.977380952380955</v>
      </c>
      <c r="BM11" s="48">
        <f t="shared" si="22"/>
        <v>0.12830188679245283</v>
      </c>
      <c r="BN11" s="48">
        <f t="shared" si="23"/>
        <v>2.9999999999999996</v>
      </c>
      <c r="BO11" s="48">
        <f t="shared" si="24"/>
        <v>0.3125</v>
      </c>
      <c r="BP11" s="48">
        <v>2.384238095238095</v>
      </c>
      <c r="BQ11" s="48">
        <v>2.9076074332171888</v>
      </c>
    </row>
    <row r="12" spans="1:69" x14ac:dyDescent="0.3">
      <c r="A12" s="13">
        <v>0</v>
      </c>
      <c r="B12" s="14">
        <v>899</v>
      </c>
      <c r="C12" s="15" t="s">
        <v>95</v>
      </c>
      <c r="D12" s="16" t="s">
        <v>96</v>
      </c>
      <c r="E12" s="17">
        <v>95</v>
      </c>
      <c r="F12" s="18">
        <v>1.4</v>
      </c>
      <c r="G12" s="18">
        <v>0.3</v>
      </c>
      <c r="H12" s="18">
        <v>0.3</v>
      </c>
      <c r="I12" s="18">
        <v>0.4</v>
      </c>
      <c r="J12" s="18">
        <v>0</v>
      </c>
      <c r="K12" s="18">
        <v>0</v>
      </c>
      <c r="L12" s="18">
        <v>20.5</v>
      </c>
      <c r="M12" s="18">
        <v>0.3</v>
      </c>
      <c r="N12" s="18">
        <v>76.5</v>
      </c>
      <c r="O12" s="19">
        <v>37</v>
      </c>
      <c r="P12" s="19">
        <v>50</v>
      </c>
      <c r="Q12" s="18">
        <v>7</v>
      </c>
      <c r="R12" s="18">
        <v>2.6</v>
      </c>
      <c r="S12" s="18">
        <v>0.03</v>
      </c>
      <c r="T12" s="18">
        <v>0.05</v>
      </c>
      <c r="U12" s="18">
        <v>1.1000000000000001</v>
      </c>
      <c r="V12" s="18">
        <v>4.9000000000000004</v>
      </c>
      <c r="W12" s="19">
        <v>228</v>
      </c>
      <c r="X12" s="18">
        <v>0.3</v>
      </c>
      <c r="Y12" s="18">
        <v>1</v>
      </c>
      <c r="Z12" s="18">
        <v>6</v>
      </c>
      <c r="AA12" s="18">
        <v>1.4</v>
      </c>
      <c r="AB12" s="19">
        <v>130</v>
      </c>
      <c r="AC12" s="19">
        <v>300</v>
      </c>
      <c r="AD12" s="17">
        <v>18</v>
      </c>
      <c r="AE12" s="17">
        <v>160</v>
      </c>
      <c r="AF12" s="17">
        <v>31</v>
      </c>
      <c r="AG12" s="20">
        <v>0.6</v>
      </c>
      <c r="AH12" s="18">
        <v>0.5</v>
      </c>
      <c r="AI12" s="22">
        <v>2.7E-2</v>
      </c>
      <c r="AJ12" s="23">
        <v>0.22</v>
      </c>
      <c r="AK12" s="24" t="s">
        <v>97</v>
      </c>
      <c r="AL12" s="25">
        <f t="shared" si="0"/>
        <v>12.6</v>
      </c>
      <c r="AM12" s="27">
        <f t="shared" si="25"/>
        <v>0.74999999999999989</v>
      </c>
      <c r="AN12" s="27">
        <f t="shared" si="26"/>
        <v>0.74999999999999989</v>
      </c>
      <c r="AO12" s="27">
        <f t="shared" si="28"/>
        <v>1</v>
      </c>
      <c r="AP12" s="27">
        <f t="shared" si="29"/>
        <v>1.3333333333333335</v>
      </c>
      <c r="AQ12" s="26">
        <f t="shared" si="1"/>
        <v>82</v>
      </c>
      <c r="AR12" s="28">
        <f t="shared" si="2"/>
        <v>0.86680761099365755</v>
      </c>
      <c r="AS12" s="29">
        <f t="shared" si="3"/>
        <v>0.247</v>
      </c>
      <c r="AT12" s="30">
        <f t="shared" si="27"/>
        <v>0.98799999999999999</v>
      </c>
      <c r="AU12" s="27">
        <f t="shared" si="4"/>
        <v>0.12272727272727273</v>
      </c>
      <c r="AV12" s="31">
        <f t="shared" si="5"/>
        <v>6.25E-2</v>
      </c>
      <c r="AW12" s="31">
        <f t="shared" si="6"/>
        <v>1.4</v>
      </c>
      <c r="AX12" s="31">
        <f t="shared" si="7"/>
        <v>0.21666666666666667</v>
      </c>
      <c r="AY12" s="31">
        <f t="shared" si="8"/>
        <v>2.7272727272727268E-2</v>
      </c>
      <c r="AZ12" s="31">
        <f t="shared" si="9"/>
        <v>3.5714285714285719E-2</v>
      </c>
      <c r="BA12" s="31">
        <f t="shared" si="10"/>
        <v>6.8750000000000006E-2</v>
      </c>
      <c r="BB12" s="31">
        <f t="shared" si="11"/>
        <v>0.2142857142857143</v>
      </c>
      <c r="BC12" s="31">
        <f t="shared" si="12"/>
        <v>0.4</v>
      </c>
      <c r="BD12" s="31">
        <f t="shared" si="13"/>
        <v>0.03</v>
      </c>
      <c r="BE12" s="31">
        <f t="shared" si="14"/>
        <v>5.4166666666666669E-2</v>
      </c>
      <c r="BF12" s="31">
        <f t="shared" si="15"/>
        <v>0.15</v>
      </c>
      <c r="BG12" s="31">
        <f t="shared" si="16"/>
        <v>2.2499999999999999E-2</v>
      </c>
      <c r="BH12" s="31">
        <f t="shared" si="17"/>
        <v>0.22857142857142856</v>
      </c>
      <c r="BI12" s="31">
        <f t="shared" si="18"/>
        <v>8.2666666666666666E-2</v>
      </c>
      <c r="BJ12" s="31">
        <f t="shared" si="19"/>
        <v>4.2857142857142858E-2</v>
      </c>
      <c r="BK12" s="31">
        <f t="shared" si="20"/>
        <v>0.05</v>
      </c>
      <c r="BL12" s="32">
        <f t="shared" si="21"/>
        <v>91.802380952380943</v>
      </c>
      <c r="BM12" s="32">
        <f t="shared" si="22"/>
        <v>0.43333333333333335</v>
      </c>
      <c r="BN12" s="32">
        <f t="shared" si="23"/>
        <v>1.2</v>
      </c>
      <c r="BO12" s="32">
        <f t="shared" si="24"/>
        <v>0.1125</v>
      </c>
      <c r="BP12" s="32">
        <v>3.2335238095238088</v>
      </c>
      <c r="BQ12" s="32">
        <v>3.4037092731829568</v>
      </c>
    </row>
    <row r="13" spans="1:69" x14ac:dyDescent="0.3">
      <c r="A13" s="13">
        <v>0</v>
      </c>
      <c r="B13" s="14">
        <v>837</v>
      </c>
      <c r="C13" s="15" t="s">
        <v>98</v>
      </c>
      <c r="D13" s="16" t="s">
        <v>99</v>
      </c>
      <c r="E13" s="33">
        <v>100</v>
      </c>
      <c r="F13" s="34">
        <v>2.7</v>
      </c>
      <c r="G13" s="34">
        <v>0.7</v>
      </c>
      <c r="H13" s="34">
        <v>0.8</v>
      </c>
      <c r="I13" s="34">
        <v>0.8</v>
      </c>
      <c r="J13" s="34">
        <v>0</v>
      </c>
      <c r="K13" s="34">
        <v>0</v>
      </c>
      <c r="L13" s="34">
        <v>18.8</v>
      </c>
      <c r="M13" s="34">
        <v>0.3</v>
      </c>
      <c r="N13" s="34">
        <v>76.8</v>
      </c>
      <c r="O13" s="35">
        <v>36</v>
      </c>
      <c r="P13" s="35">
        <v>19</v>
      </c>
      <c r="Q13" s="34">
        <v>15</v>
      </c>
      <c r="R13" s="34">
        <v>0.7</v>
      </c>
      <c r="S13" s="34">
        <v>0.05</v>
      </c>
      <c r="T13" s="34">
        <v>7.0000000000000007E-2</v>
      </c>
      <c r="U13" s="34">
        <v>2.6</v>
      </c>
      <c r="V13" s="34">
        <v>6.1</v>
      </c>
      <c r="W13" s="35">
        <v>210</v>
      </c>
      <c r="X13" s="34">
        <v>0.41</v>
      </c>
      <c r="Y13" s="34">
        <v>1</v>
      </c>
      <c r="Z13" s="34">
        <v>15</v>
      </c>
      <c r="AA13" s="34">
        <v>1.5</v>
      </c>
      <c r="AB13" s="35">
        <v>100</v>
      </c>
      <c r="AC13" s="35">
        <v>370</v>
      </c>
      <c r="AD13" s="33">
        <v>7</v>
      </c>
      <c r="AE13" s="33">
        <v>260</v>
      </c>
      <c r="AF13" s="33">
        <v>32</v>
      </c>
      <c r="AG13" s="36">
        <v>0.4</v>
      </c>
      <c r="AH13" s="34">
        <v>0.7</v>
      </c>
      <c r="AI13" s="38">
        <v>0.6</v>
      </c>
      <c r="AJ13" s="39">
        <v>0.9</v>
      </c>
      <c r="AK13" s="40" t="s">
        <v>78</v>
      </c>
      <c r="AL13" s="41">
        <f t="shared" si="0"/>
        <v>24.3</v>
      </c>
      <c r="AM13" s="42">
        <f t="shared" si="25"/>
        <v>1</v>
      </c>
      <c r="AN13" s="42">
        <f t="shared" si="26"/>
        <v>0.87499999999999989</v>
      </c>
      <c r="AO13" s="42">
        <f t="shared" si="28"/>
        <v>0.87499999999999989</v>
      </c>
      <c r="AP13" s="42">
        <f t="shared" si="29"/>
        <v>1.142857142857143</v>
      </c>
      <c r="AQ13" s="43">
        <f t="shared" si="1"/>
        <v>75.2</v>
      </c>
      <c r="AR13" s="44">
        <f t="shared" si="2"/>
        <v>0.7557788944723618</v>
      </c>
      <c r="AS13" s="45">
        <f t="shared" si="3"/>
        <v>1.5</v>
      </c>
      <c r="AT13" s="46">
        <f t="shared" si="27"/>
        <v>6</v>
      </c>
      <c r="AU13" s="42">
        <f t="shared" si="4"/>
        <v>0.66666666666666663</v>
      </c>
      <c r="AV13" s="47">
        <f t="shared" si="5"/>
        <v>2.375E-2</v>
      </c>
      <c r="AW13" s="47">
        <f t="shared" si="6"/>
        <v>3</v>
      </c>
      <c r="AX13" s="47">
        <f t="shared" si="7"/>
        <v>5.8333333333333327E-2</v>
      </c>
      <c r="AY13" s="47">
        <f t="shared" si="8"/>
        <v>4.5454545454545456E-2</v>
      </c>
      <c r="AZ13" s="47">
        <f t="shared" si="9"/>
        <v>5.000000000000001E-2</v>
      </c>
      <c r="BA13" s="47">
        <f t="shared" si="10"/>
        <v>0.16250000000000001</v>
      </c>
      <c r="BB13" s="47">
        <f t="shared" si="11"/>
        <v>0.29285714285714287</v>
      </c>
      <c r="BC13" s="47">
        <f t="shared" si="12"/>
        <v>0.4</v>
      </c>
      <c r="BD13" s="47">
        <f t="shared" si="13"/>
        <v>7.4999999999999997E-2</v>
      </c>
      <c r="BE13" s="47">
        <f t="shared" si="14"/>
        <v>4.1666666666666664E-2</v>
      </c>
      <c r="BF13" s="47">
        <f t="shared" si="15"/>
        <v>0.185</v>
      </c>
      <c r="BG13" s="47">
        <f t="shared" si="16"/>
        <v>8.7500000000000008E-3</v>
      </c>
      <c r="BH13" s="47">
        <f t="shared" si="17"/>
        <v>0.37142857142857144</v>
      </c>
      <c r="BI13" s="47">
        <f t="shared" si="18"/>
        <v>8.533333333333333E-2</v>
      </c>
      <c r="BJ13" s="47">
        <f t="shared" si="19"/>
        <v>2.8571428571428574E-2</v>
      </c>
      <c r="BK13" s="47">
        <f t="shared" si="20"/>
        <v>6.9999999999999993E-2</v>
      </c>
      <c r="BL13" s="48">
        <f t="shared" si="21"/>
        <v>68.907142857142858</v>
      </c>
      <c r="BM13" s="48">
        <f t="shared" si="22"/>
        <v>0.27027027027027029</v>
      </c>
      <c r="BN13" s="48">
        <f t="shared" si="23"/>
        <v>0.57142857142857151</v>
      </c>
      <c r="BO13" s="48">
        <f t="shared" si="24"/>
        <v>2.6923076923076925E-2</v>
      </c>
      <c r="BP13" s="48">
        <v>9.9388452380952383</v>
      </c>
      <c r="BQ13" s="48">
        <v>9.9388452380952383</v>
      </c>
    </row>
    <row r="14" spans="1:69" x14ac:dyDescent="0.3">
      <c r="A14" s="13">
        <v>0</v>
      </c>
      <c r="B14" s="14">
        <v>841</v>
      </c>
      <c r="C14" s="15" t="s">
        <v>100</v>
      </c>
      <c r="D14" s="16" t="s">
        <v>101</v>
      </c>
      <c r="E14" s="17">
        <v>80</v>
      </c>
      <c r="F14" s="18">
        <v>0.4</v>
      </c>
      <c r="G14" s="18">
        <v>0.1</v>
      </c>
      <c r="H14" s="18">
        <v>0.1</v>
      </c>
      <c r="I14" s="18">
        <v>0.1</v>
      </c>
      <c r="J14" s="18">
        <v>0</v>
      </c>
      <c r="K14" s="18">
        <v>0</v>
      </c>
      <c r="L14" s="18">
        <v>19</v>
      </c>
      <c r="M14" s="18">
        <v>0.2</v>
      </c>
      <c r="N14" s="18">
        <v>79.2</v>
      </c>
      <c r="O14" s="19">
        <v>32</v>
      </c>
      <c r="P14" s="19">
        <v>10</v>
      </c>
      <c r="Q14" s="18">
        <v>2.7</v>
      </c>
      <c r="R14" s="18">
        <v>0.62</v>
      </c>
      <c r="S14" s="18">
        <v>0.1</v>
      </c>
      <c r="T14" s="18">
        <v>0.02</v>
      </c>
      <c r="U14" s="18">
        <v>3.9</v>
      </c>
      <c r="V14" s="18">
        <v>7.4</v>
      </c>
      <c r="W14" s="19">
        <v>210</v>
      </c>
      <c r="X14" s="18">
        <v>0.12</v>
      </c>
      <c r="Y14" s="18">
        <v>0.36</v>
      </c>
      <c r="Z14" s="18">
        <v>11</v>
      </c>
      <c r="AA14" s="18">
        <v>1.1000000000000001</v>
      </c>
      <c r="AB14" s="19">
        <v>72</v>
      </c>
      <c r="AC14" s="19">
        <v>320</v>
      </c>
      <c r="AD14" s="17">
        <v>14</v>
      </c>
      <c r="AE14" s="17">
        <v>210</v>
      </c>
      <c r="AF14" s="17">
        <v>32</v>
      </c>
      <c r="AG14" s="20">
        <v>0.2</v>
      </c>
      <c r="AH14" s="18">
        <v>0.4</v>
      </c>
      <c r="AI14" s="22">
        <v>0.12</v>
      </c>
      <c r="AJ14" s="23">
        <v>0.24</v>
      </c>
      <c r="AK14" s="49" t="s">
        <v>75</v>
      </c>
      <c r="AL14" s="25">
        <f t="shared" si="0"/>
        <v>3.6</v>
      </c>
      <c r="AM14" s="27">
        <f t="shared" si="25"/>
        <v>1</v>
      </c>
      <c r="AN14" s="27">
        <f t="shared" si="26"/>
        <v>1</v>
      </c>
      <c r="AO14" s="27">
        <f t="shared" si="28"/>
        <v>1</v>
      </c>
      <c r="AP14" s="27">
        <f t="shared" si="29"/>
        <v>1</v>
      </c>
      <c r="AQ14" s="26">
        <f t="shared" si="1"/>
        <v>76</v>
      </c>
      <c r="AR14" s="28">
        <f t="shared" si="2"/>
        <v>0.95477386934673369</v>
      </c>
      <c r="AS14" s="29">
        <f t="shared" si="3"/>
        <v>0.36</v>
      </c>
      <c r="AT14" s="30">
        <f t="shared" si="27"/>
        <v>1.44</v>
      </c>
      <c r="AU14" s="27">
        <f t="shared" si="4"/>
        <v>0.5</v>
      </c>
      <c r="AV14" s="31">
        <f t="shared" si="5"/>
        <v>1.2500000000000001E-2</v>
      </c>
      <c r="AW14" s="31">
        <f t="shared" si="6"/>
        <v>0.54</v>
      </c>
      <c r="AX14" s="31">
        <f t="shared" si="7"/>
        <v>5.1666666666666666E-2</v>
      </c>
      <c r="AY14" s="31">
        <f t="shared" si="8"/>
        <v>9.0909090909090912E-2</v>
      </c>
      <c r="AZ14" s="31">
        <f t="shared" si="9"/>
        <v>1.4285714285714287E-2</v>
      </c>
      <c r="BA14" s="31">
        <f t="shared" si="10"/>
        <v>0.24374999999999999</v>
      </c>
      <c r="BB14" s="31">
        <f t="shared" si="11"/>
        <v>8.5714285714285715E-2</v>
      </c>
      <c r="BC14" s="31">
        <f t="shared" si="12"/>
        <v>0.14399999999999999</v>
      </c>
      <c r="BD14" s="31">
        <f t="shared" si="13"/>
        <v>5.5E-2</v>
      </c>
      <c r="BE14" s="31">
        <f t="shared" si="14"/>
        <v>0.03</v>
      </c>
      <c r="BF14" s="31">
        <f t="shared" si="15"/>
        <v>0.16</v>
      </c>
      <c r="BG14" s="31">
        <f t="shared" si="16"/>
        <v>1.7500000000000002E-2</v>
      </c>
      <c r="BH14" s="31">
        <f t="shared" si="17"/>
        <v>0.3</v>
      </c>
      <c r="BI14" s="31">
        <f t="shared" si="18"/>
        <v>8.533333333333333E-2</v>
      </c>
      <c r="BJ14" s="31">
        <f t="shared" si="19"/>
        <v>1.4285714285714287E-2</v>
      </c>
      <c r="BK14" s="31">
        <f t="shared" si="20"/>
        <v>0.04</v>
      </c>
      <c r="BL14" s="32">
        <f t="shared" si="21"/>
        <v>68.628571428571433</v>
      </c>
      <c r="BM14" s="32">
        <f t="shared" si="22"/>
        <v>0.22500000000000001</v>
      </c>
      <c r="BN14" s="32">
        <f t="shared" si="23"/>
        <v>0.5</v>
      </c>
      <c r="BO14" s="32">
        <f t="shared" si="24"/>
        <v>6.6666666666666666E-2</v>
      </c>
      <c r="BP14" s="32">
        <v>2.3944523809523814</v>
      </c>
      <c r="BQ14" s="32">
        <v>2.9930654761904769</v>
      </c>
    </row>
    <row r="15" spans="1:69" x14ac:dyDescent="0.3">
      <c r="A15" s="13">
        <v>0</v>
      </c>
      <c r="B15" s="14">
        <v>845</v>
      </c>
      <c r="C15" s="15" t="s">
        <v>102</v>
      </c>
      <c r="D15" s="16" t="s">
        <v>103</v>
      </c>
      <c r="E15" s="33">
        <v>82</v>
      </c>
      <c r="F15" s="34">
        <v>0.2</v>
      </c>
      <c r="G15" s="34">
        <v>0</v>
      </c>
      <c r="H15" s="34">
        <v>0</v>
      </c>
      <c r="I15" s="34">
        <v>0.1</v>
      </c>
      <c r="J15" s="34">
        <v>0</v>
      </c>
      <c r="K15" s="34">
        <v>0</v>
      </c>
      <c r="L15" s="34">
        <v>20.100000000000001</v>
      </c>
      <c r="M15" s="34">
        <v>0.2</v>
      </c>
      <c r="N15" s="34">
        <v>78.099999999999994</v>
      </c>
      <c r="O15" s="35">
        <v>44</v>
      </c>
      <c r="P15" s="35">
        <v>4</v>
      </c>
      <c r="Q15" s="34">
        <v>9.4</v>
      </c>
      <c r="R15" s="34">
        <v>0.32</v>
      </c>
      <c r="S15" s="34">
        <v>0.09</v>
      </c>
      <c r="T15" s="34">
        <v>0.13</v>
      </c>
      <c r="U15" s="34">
        <v>2.8</v>
      </c>
      <c r="V15" s="34">
        <v>6.6</v>
      </c>
      <c r="W15" s="35">
        <v>228</v>
      </c>
      <c r="X15" s="34">
        <v>0.33</v>
      </c>
      <c r="Y15" s="34">
        <v>0.94</v>
      </c>
      <c r="Z15" s="34">
        <v>10</v>
      </c>
      <c r="AA15" s="34">
        <v>1.4</v>
      </c>
      <c r="AB15" s="35">
        <v>88</v>
      </c>
      <c r="AC15" s="35">
        <v>390</v>
      </c>
      <c r="AD15" s="33">
        <v>21</v>
      </c>
      <c r="AE15" s="33">
        <v>220</v>
      </c>
      <c r="AF15" s="33">
        <v>33</v>
      </c>
      <c r="AG15" s="36">
        <v>0.3</v>
      </c>
      <c r="AH15" s="34">
        <v>0.6</v>
      </c>
      <c r="AI15" s="38">
        <v>0.13700000000000001</v>
      </c>
      <c r="AJ15" s="39">
        <v>0.108</v>
      </c>
      <c r="AK15" s="50" t="s">
        <v>104</v>
      </c>
      <c r="AL15" s="41">
        <f t="shared" si="0"/>
        <v>1.8</v>
      </c>
      <c r="AM15" s="42">
        <f t="shared" si="25"/>
        <v>0</v>
      </c>
      <c r="AN15" s="42">
        <f t="shared" si="26"/>
        <v>0</v>
      </c>
      <c r="AO15" s="42">
        <v>0</v>
      </c>
      <c r="AP15" s="42">
        <v>0</v>
      </c>
      <c r="AQ15" s="43">
        <f t="shared" si="1"/>
        <v>80.400000000000006</v>
      </c>
      <c r="AR15" s="44">
        <f t="shared" si="2"/>
        <v>0.97810218978102192</v>
      </c>
      <c r="AS15" s="45">
        <f t="shared" si="3"/>
        <v>0.245</v>
      </c>
      <c r="AT15" s="46">
        <f t="shared" si="27"/>
        <v>0.98</v>
      </c>
      <c r="AU15" s="42">
        <f t="shared" si="4"/>
        <v>1.2685185185185186</v>
      </c>
      <c r="AV15" s="47">
        <f t="shared" si="5"/>
        <v>5.0000000000000001E-3</v>
      </c>
      <c r="AW15" s="47">
        <f t="shared" si="6"/>
        <v>1.8800000000000001</v>
      </c>
      <c r="AX15" s="47">
        <f t="shared" si="7"/>
        <v>2.6666666666666668E-2</v>
      </c>
      <c r="AY15" s="47">
        <f t="shared" si="8"/>
        <v>8.1818181818181804E-2</v>
      </c>
      <c r="AZ15" s="47">
        <f t="shared" si="9"/>
        <v>9.285714285714286E-2</v>
      </c>
      <c r="BA15" s="47">
        <f t="shared" si="10"/>
        <v>0.17499999999999999</v>
      </c>
      <c r="BB15" s="47">
        <f t="shared" si="11"/>
        <v>0.23571428571428574</v>
      </c>
      <c r="BC15" s="47">
        <f t="shared" si="12"/>
        <v>0.376</v>
      </c>
      <c r="BD15" s="47">
        <f t="shared" si="13"/>
        <v>0.05</v>
      </c>
      <c r="BE15" s="47">
        <f t="shared" si="14"/>
        <v>3.6666666666666667E-2</v>
      </c>
      <c r="BF15" s="47">
        <f t="shared" si="15"/>
        <v>0.19500000000000001</v>
      </c>
      <c r="BG15" s="47">
        <f t="shared" si="16"/>
        <v>2.6249999999999999E-2</v>
      </c>
      <c r="BH15" s="47">
        <f t="shared" si="17"/>
        <v>0.31428571428571428</v>
      </c>
      <c r="BI15" s="47">
        <f t="shared" si="18"/>
        <v>8.7999999999999995E-2</v>
      </c>
      <c r="BJ15" s="47">
        <f t="shared" si="19"/>
        <v>2.1428571428571429E-2</v>
      </c>
      <c r="BK15" s="47">
        <f t="shared" si="20"/>
        <v>0.06</v>
      </c>
      <c r="BL15" s="48">
        <f t="shared" si="21"/>
        <v>72.767857142857139</v>
      </c>
      <c r="BM15" s="48">
        <f t="shared" si="22"/>
        <v>0.22564102564102564</v>
      </c>
      <c r="BN15" s="48">
        <f t="shared" si="23"/>
        <v>0.5</v>
      </c>
      <c r="BO15" s="48">
        <f t="shared" si="24"/>
        <v>9.5454545454545459E-2</v>
      </c>
      <c r="BP15" s="48">
        <v>3.7506666666666666</v>
      </c>
      <c r="BQ15" s="48">
        <v>4.5739837398373986</v>
      </c>
    </row>
    <row r="16" spans="1:69" x14ac:dyDescent="0.3">
      <c r="A16" s="13">
        <v>0</v>
      </c>
      <c r="B16" s="14">
        <v>848</v>
      </c>
      <c r="C16" s="15" t="s">
        <v>105</v>
      </c>
      <c r="D16" s="16" t="s">
        <v>106</v>
      </c>
      <c r="E16" s="17">
        <v>70</v>
      </c>
      <c r="F16" s="18">
        <v>0.1</v>
      </c>
      <c r="G16" s="18">
        <v>0</v>
      </c>
      <c r="H16" s="18">
        <v>0</v>
      </c>
      <c r="I16" s="18">
        <v>0.1</v>
      </c>
      <c r="J16" s="18">
        <v>0</v>
      </c>
      <c r="K16" s="18">
        <v>0</v>
      </c>
      <c r="L16" s="18">
        <v>17.2</v>
      </c>
      <c r="M16" s="18">
        <v>0.3</v>
      </c>
      <c r="N16" s="18">
        <v>81.7</v>
      </c>
      <c r="O16" s="19">
        <v>28</v>
      </c>
      <c r="P16" s="19">
        <v>9</v>
      </c>
      <c r="Q16" s="18">
        <v>0.4</v>
      </c>
      <c r="R16" s="18">
        <v>0.13</v>
      </c>
      <c r="S16" s="18">
        <v>0.04</v>
      </c>
      <c r="T16" s="18">
        <v>0.02</v>
      </c>
      <c r="U16" s="18">
        <v>0.67</v>
      </c>
      <c r="V16" s="18">
        <v>3.9</v>
      </c>
      <c r="W16" s="19">
        <v>192</v>
      </c>
      <c r="X16" s="18">
        <v>7.0000000000000007E-2</v>
      </c>
      <c r="Y16" s="18">
        <v>0.48</v>
      </c>
      <c r="Z16" s="18">
        <v>6.8</v>
      </c>
      <c r="AA16" s="18">
        <v>1</v>
      </c>
      <c r="AB16" s="19">
        <v>120</v>
      </c>
      <c r="AC16" s="19">
        <v>260</v>
      </c>
      <c r="AD16" s="17">
        <v>25</v>
      </c>
      <c r="AE16" s="17">
        <v>180</v>
      </c>
      <c r="AF16" s="17">
        <v>25</v>
      </c>
      <c r="AG16" s="20">
        <v>0.2</v>
      </c>
      <c r="AH16" s="18">
        <v>0.7</v>
      </c>
      <c r="AI16" s="22">
        <v>0</v>
      </c>
      <c r="AJ16" s="23">
        <v>0</v>
      </c>
      <c r="AK16" s="49" t="s">
        <v>81</v>
      </c>
      <c r="AL16" s="25">
        <f t="shared" si="0"/>
        <v>0.9</v>
      </c>
      <c r="AM16" s="27">
        <f t="shared" si="25"/>
        <v>0</v>
      </c>
      <c r="AN16" s="27">
        <f t="shared" si="26"/>
        <v>0</v>
      </c>
      <c r="AO16" s="27">
        <v>0</v>
      </c>
      <c r="AP16" s="27">
        <v>0</v>
      </c>
      <c r="AQ16" s="26">
        <f t="shared" si="1"/>
        <v>68.8</v>
      </c>
      <c r="AR16" s="28">
        <f t="shared" si="2"/>
        <v>0.98708751793400273</v>
      </c>
      <c r="AS16" s="29">
        <f t="shared" si="3"/>
        <v>0</v>
      </c>
      <c r="AT16" s="30">
        <f t="shared" si="27"/>
        <v>0</v>
      </c>
      <c r="AU16" s="27">
        <v>0</v>
      </c>
      <c r="AV16" s="31">
        <f t="shared" si="5"/>
        <v>1.125E-2</v>
      </c>
      <c r="AW16" s="31">
        <f t="shared" si="6"/>
        <v>0.08</v>
      </c>
      <c r="AX16" s="31">
        <f t="shared" si="7"/>
        <v>1.0833333333333334E-2</v>
      </c>
      <c r="AY16" s="31">
        <f t="shared" si="8"/>
        <v>3.6363636363636362E-2</v>
      </c>
      <c r="AZ16" s="31">
        <f t="shared" si="9"/>
        <v>1.4285714285714287E-2</v>
      </c>
      <c r="BA16" s="31">
        <f t="shared" si="10"/>
        <v>4.1875000000000002E-2</v>
      </c>
      <c r="BB16" s="31">
        <f t="shared" si="11"/>
        <v>5.000000000000001E-2</v>
      </c>
      <c r="BC16" s="31">
        <f t="shared" si="12"/>
        <v>0.192</v>
      </c>
      <c r="BD16" s="31">
        <f t="shared" si="13"/>
        <v>3.4000000000000002E-2</v>
      </c>
      <c r="BE16" s="31">
        <f t="shared" si="14"/>
        <v>0.05</v>
      </c>
      <c r="BF16" s="31">
        <f t="shared" si="15"/>
        <v>0.13</v>
      </c>
      <c r="BG16" s="31">
        <f t="shared" si="16"/>
        <v>3.125E-2</v>
      </c>
      <c r="BH16" s="31">
        <f t="shared" si="17"/>
        <v>0.25714285714285712</v>
      </c>
      <c r="BI16" s="31">
        <f t="shared" si="18"/>
        <v>6.6666666666666666E-2</v>
      </c>
      <c r="BJ16" s="31">
        <f t="shared" si="19"/>
        <v>1.4285714285714287E-2</v>
      </c>
      <c r="BK16" s="31">
        <f t="shared" si="20"/>
        <v>6.9999999999999993E-2</v>
      </c>
      <c r="BL16" s="32">
        <f t="shared" si="21"/>
        <v>55.828571428571429</v>
      </c>
      <c r="BM16" s="32">
        <f t="shared" si="22"/>
        <v>0.46153846153846156</v>
      </c>
      <c r="BN16" s="32">
        <f t="shared" si="23"/>
        <v>0.28571428571428575</v>
      </c>
      <c r="BO16" s="32">
        <f t="shared" si="24"/>
        <v>0.1388888888888889</v>
      </c>
      <c r="BP16" s="32">
        <v>0.48515476190476181</v>
      </c>
      <c r="BQ16" s="32">
        <v>0.69307823129251689</v>
      </c>
    </row>
    <row r="17" spans="1:69" x14ac:dyDescent="0.3">
      <c r="A17" s="13">
        <v>0</v>
      </c>
      <c r="B17" s="14">
        <v>850</v>
      </c>
      <c r="C17" s="15" t="s">
        <v>107</v>
      </c>
      <c r="D17" s="16" t="s">
        <v>108</v>
      </c>
      <c r="E17" s="33">
        <v>79</v>
      </c>
      <c r="F17" s="34">
        <v>0.2</v>
      </c>
      <c r="G17" s="34">
        <v>0</v>
      </c>
      <c r="H17" s="34">
        <v>0</v>
      </c>
      <c r="I17" s="34">
        <v>0.1</v>
      </c>
      <c r="J17" s="34">
        <v>0</v>
      </c>
      <c r="K17" s="34">
        <v>0</v>
      </c>
      <c r="L17" s="34">
        <v>19.399999999999999</v>
      </c>
      <c r="M17" s="34">
        <v>0.2</v>
      </c>
      <c r="N17" s="34">
        <v>78.5</v>
      </c>
      <c r="O17" s="35">
        <v>38</v>
      </c>
      <c r="P17" s="35">
        <v>6</v>
      </c>
      <c r="Q17" s="34">
        <v>9</v>
      </c>
      <c r="R17" s="34">
        <v>0.45</v>
      </c>
      <c r="S17" s="34">
        <v>0.25</v>
      </c>
      <c r="T17" s="34">
        <v>0.02</v>
      </c>
      <c r="U17" s="34">
        <v>4.8</v>
      </c>
      <c r="V17" s="34">
        <v>8.4</v>
      </c>
      <c r="W17" s="35">
        <v>216</v>
      </c>
      <c r="X17" s="34">
        <v>0.5</v>
      </c>
      <c r="Y17" s="34">
        <v>2.1</v>
      </c>
      <c r="Z17" s="34">
        <v>10</v>
      </c>
      <c r="AA17" s="34">
        <v>1.3</v>
      </c>
      <c r="AB17" s="35">
        <v>65</v>
      </c>
      <c r="AC17" s="35">
        <v>450</v>
      </c>
      <c r="AD17" s="33">
        <v>7</v>
      </c>
      <c r="AE17" s="33">
        <v>260</v>
      </c>
      <c r="AF17" s="33">
        <v>36</v>
      </c>
      <c r="AG17" s="36">
        <v>0.7</v>
      </c>
      <c r="AH17" s="34">
        <v>0.7</v>
      </c>
      <c r="AI17" s="38">
        <v>0.12</v>
      </c>
      <c r="AJ17" s="39">
        <v>0.24</v>
      </c>
      <c r="AK17" s="40" t="s">
        <v>75</v>
      </c>
      <c r="AL17" s="41">
        <f t="shared" si="0"/>
        <v>1.8</v>
      </c>
      <c r="AM17" s="42">
        <f t="shared" si="25"/>
        <v>0</v>
      </c>
      <c r="AN17" s="42">
        <f t="shared" si="26"/>
        <v>0</v>
      </c>
      <c r="AO17" s="42">
        <v>0</v>
      </c>
      <c r="AP17" s="42">
        <v>0</v>
      </c>
      <c r="AQ17" s="43">
        <f t="shared" si="1"/>
        <v>77.599999999999994</v>
      </c>
      <c r="AR17" s="44">
        <f t="shared" si="2"/>
        <v>0.97732997481108319</v>
      </c>
      <c r="AS17" s="45">
        <f t="shared" si="3"/>
        <v>0.36</v>
      </c>
      <c r="AT17" s="46">
        <f t="shared" si="27"/>
        <v>1.44</v>
      </c>
      <c r="AU17" s="42">
        <f t="shared" ref="AU17:AU24" si="30">AI17/AJ17</f>
        <v>0.5</v>
      </c>
      <c r="AV17" s="47">
        <f t="shared" si="5"/>
        <v>7.4999999999999997E-3</v>
      </c>
      <c r="AW17" s="47">
        <f t="shared" si="6"/>
        <v>1.8</v>
      </c>
      <c r="AX17" s="47">
        <f t="shared" si="7"/>
        <v>3.7499999999999999E-2</v>
      </c>
      <c r="AY17" s="47">
        <f t="shared" si="8"/>
        <v>0.22727272727272727</v>
      </c>
      <c r="AZ17" s="47">
        <f t="shared" si="9"/>
        <v>1.4285714285714287E-2</v>
      </c>
      <c r="BA17" s="47">
        <f t="shared" si="10"/>
        <v>0.3</v>
      </c>
      <c r="BB17" s="47">
        <f t="shared" si="11"/>
        <v>0.35714285714285715</v>
      </c>
      <c r="BC17" s="47">
        <f t="shared" si="12"/>
        <v>0.84000000000000008</v>
      </c>
      <c r="BD17" s="47">
        <f t="shared" si="13"/>
        <v>0.05</v>
      </c>
      <c r="BE17" s="47">
        <f t="shared" si="14"/>
        <v>2.7083333333333334E-2</v>
      </c>
      <c r="BF17" s="47">
        <f t="shared" si="15"/>
        <v>0.22500000000000001</v>
      </c>
      <c r="BG17" s="47">
        <f t="shared" si="16"/>
        <v>8.7500000000000008E-3</v>
      </c>
      <c r="BH17" s="47">
        <f t="shared" si="17"/>
        <v>0.37142857142857144</v>
      </c>
      <c r="BI17" s="47">
        <f t="shared" si="18"/>
        <v>9.6000000000000002E-2</v>
      </c>
      <c r="BJ17" s="47">
        <f t="shared" si="19"/>
        <v>4.9999999999999996E-2</v>
      </c>
      <c r="BK17" s="47">
        <f t="shared" si="20"/>
        <v>6.9999999999999993E-2</v>
      </c>
      <c r="BL17" s="48">
        <f t="shared" si="21"/>
        <v>78.566666666666649</v>
      </c>
      <c r="BM17" s="48">
        <f t="shared" si="22"/>
        <v>0.14444444444444443</v>
      </c>
      <c r="BN17" s="48">
        <f t="shared" si="23"/>
        <v>1</v>
      </c>
      <c r="BO17" s="48">
        <f t="shared" si="24"/>
        <v>2.6923076923076925E-2</v>
      </c>
      <c r="BP17" s="48">
        <v>4.7461785714285716</v>
      </c>
      <c r="BQ17" s="48">
        <v>6.0078209764918622</v>
      </c>
    </row>
    <row r="18" spans="1:69" x14ac:dyDescent="0.3">
      <c r="A18" s="13">
        <v>0</v>
      </c>
      <c r="B18" s="14">
        <v>853</v>
      </c>
      <c r="C18" s="15" t="s">
        <v>109</v>
      </c>
      <c r="D18" s="16" t="s">
        <v>110</v>
      </c>
      <c r="E18" s="17">
        <v>80</v>
      </c>
      <c r="F18" s="18">
        <v>0.7</v>
      </c>
      <c r="G18" s="18">
        <v>0.1</v>
      </c>
      <c r="H18" s="18">
        <v>0.1</v>
      </c>
      <c r="I18" s="18">
        <v>0.2</v>
      </c>
      <c r="J18" s="18">
        <v>0</v>
      </c>
      <c r="K18" s="18">
        <v>0</v>
      </c>
      <c r="L18" s="18">
        <v>18.5</v>
      </c>
      <c r="M18" s="18">
        <v>0.2</v>
      </c>
      <c r="N18" s="18">
        <v>79.599999999999994</v>
      </c>
      <c r="O18" s="19">
        <v>34</v>
      </c>
      <c r="P18" s="19">
        <v>6</v>
      </c>
      <c r="Q18" s="18">
        <v>0.9</v>
      </c>
      <c r="R18" s="18">
        <v>1.9</v>
      </c>
      <c r="S18" s="18">
        <v>0.13</v>
      </c>
      <c r="T18" s="18">
        <v>0.06</v>
      </c>
      <c r="U18" s="18">
        <v>1.6</v>
      </c>
      <c r="V18" s="18">
        <v>5.0999999999999996</v>
      </c>
      <c r="W18" s="19">
        <v>210</v>
      </c>
      <c r="X18" s="18">
        <v>0.22</v>
      </c>
      <c r="Y18" s="18">
        <v>1.3</v>
      </c>
      <c r="Z18" s="18">
        <v>7</v>
      </c>
      <c r="AA18" s="18">
        <v>1.1000000000000001</v>
      </c>
      <c r="AB18" s="19">
        <v>81</v>
      </c>
      <c r="AC18" s="19">
        <v>320</v>
      </c>
      <c r="AD18" s="17">
        <v>12</v>
      </c>
      <c r="AE18" s="17">
        <v>180</v>
      </c>
      <c r="AF18" s="17">
        <v>28</v>
      </c>
      <c r="AG18" s="20">
        <v>0.5</v>
      </c>
      <c r="AH18" s="18">
        <v>0.8</v>
      </c>
      <c r="AI18" s="22">
        <v>0.6</v>
      </c>
      <c r="AJ18" s="23">
        <v>0.9</v>
      </c>
      <c r="AK18" s="49" t="s">
        <v>78</v>
      </c>
      <c r="AL18" s="25">
        <f t="shared" si="0"/>
        <v>6.3</v>
      </c>
      <c r="AM18" s="27">
        <f t="shared" si="25"/>
        <v>0.5</v>
      </c>
      <c r="AN18" s="27">
        <f t="shared" si="26"/>
        <v>0.5</v>
      </c>
      <c r="AO18" s="27">
        <f t="shared" ref="AO18:AO24" si="31">G18/H18</f>
        <v>1</v>
      </c>
      <c r="AP18" s="27">
        <f t="shared" ref="AP18:AP24" si="32">I18/G18</f>
        <v>2</v>
      </c>
      <c r="AQ18" s="26">
        <f t="shared" si="1"/>
        <v>74</v>
      </c>
      <c r="AR18" s="28">
        <f t="shared" si="2"/>
        <v>0.92154420921544211</v>
      </c>
      <c r="AS18" s="29">
        <f t="shared" si="3"/>
        <v>1.5</v>
      </c>
      <c r="AT18" s="30">
        <f t="shared" si="27"/>
        <v>6</v>
      </c>
      <c r="AU18" s="27">
        <f t="shared" si="30"/>
        <v>0.66666666666666663</v>
      </c>
      <c r="AV18" s="31">
        <f t="shared" si="5"/>
        <v>7.4999999999999997E-3</v>
      </c>
      <c r="AW18" s="31">
        <f t="shared" si="6"/>
        <v>0.18</v>
      </c>
      <c r="AX18" s="31">
        <f t="shared" si="7"/>
        <v>0.15833333333333333</v>
      </c>
      <c r="AY18" s="31">
        <f t="shared" si="8"/>
        <v>0.11818181818181818</v>
      </c>
      <c r="AZ18" s="31">
        <f t="shared" si="9"/>
        <v>4.2857142857142858E-2</v>
      </c>
      <c r="BA18" s="31">
        <f t="shared" si="10"/>
        <v>0.1</v>
      </c>
      <c r="BB18" s="31">
        <f t="shared" si="11"/>
        <v>0.15714285714285717</v>
      </c>
      <c r="BC18" s="31">
        <f t="shared" si="12"/>
        <v>0.52</v>
      </c>
      <c r="BD18" s="31">
        <f t="shared" si="13"/>
        <v>3.5000000000000003E-2</v>
      </c>
      <c r="BE18" s="31">
        <f t="shared" si="14"/>
        <v>3.3750000000000002E-2</v>
      </c>
      <c r="BF18" s="31">
        <f t="shared" si="15"/>
        <v>0.16</v>
      </c>
      <c r="BG18" s="31">
        <f t="shared" si="16"/>
        <v>1.4999999999999999E-2</v>
      </c>
      <c r="BH18" s="31">
        <f t="shared" si="17"/>
        <v>0.25714285714285712</v>
      </c>
      <c r="BI18" s="31">
        <f t="shared" si="18"/>
        <v>7.4666666666666673E-2</v>
      </c>
      <c r="BJ18" s="31">
        <f t="shared" si="19"/>
        <v>3.5714285714285712E-2</v>
      </c>
      <c r="BK18" s="31">
        <f t="shared" si="20"/>
        <v>0.08</v>
      </c>
      <c r="BL18" s="32">
        <f t="shared" si="21"/>
        <v>78.246428571428581</v>
      </c>
      <c r="BM18" s="32">
        <f t="shared" si="22"/>
        <v>0.25312499999999999</v>
      </c>
      <c r="BN18" s="32">
        <f t="shared" si="23"/>
        <v>0.625</v>
      </c>
      <c r="BO18" s="32">
        <f t="shared" si="24"/>
        <v>6.6666666666666666E-2</v>
      </c>
      <c r="BP18" s="32">
        <v>7.1057976190476193</v>
      </c>
      <c r="BQ18" s="32">
        <v>8.8822470238095228</v>
      </c>
    </row>
    <row r="19" spans="1:69" x14ac:dyDescent="0.3">
      <c r="A19" s="13">
        <v>0</v>
      </c>
      <c r="B19" s="14">
        <v>856</v>
      </c>
      <c r="C19" s="15" t="s">
        <v>111</v>
      </c>
      <c r="D19" s="16" t="s">
        <v>112</v>
      </c>
      <c r="E19" s="33">
        <v>117</v>
      </c>
      <c r="F19" s="34">
        <v>4</v>
      </c>
      <c r="G19" s="34">
        <v>1</v>
      </c>
      <c r="H19" s="34">
        <v>1.7</v>
      </c>
      <c r="I19" s="34">
        <v>0.8</v>
      </c>
      <c r="J19" s="34">
        <v>0</v>
      </c>
      <c r="K19" s="34">
        <v>0</v>
      </c>
      <c r="L19" s="34">
        <v>20.3</v>
      </c>
      <c r="M19" s="34">
        <v>0.2</v>
      </c>
      <c r="N19" s="34">
        <v>74.400000000000006</v>
      </c>
      <c r="O19" s="35">
        <v>38</v>
      </c>
      <c r="P19" s="35">
        <v>17</v>
      </c>
      <c r="Q19" s="34">
        <v>1.1000000000000001</v>
      </c>
      <c r="R19" s="34">
        <v>1.2</v>
      </c>
      <c r="S19" s="34">
        <v>0.05</v>
      </c>
      <c r="T19" s="34">
        <v>0.06</v>
      </c>
      <c r="U19" s="34">
        <v>3.6</v>
      </c>
      <c r="V19" s="34">
        <v>7.4</v>
      </c>
      <c r="W19" s="35">
        <v>228</v>
      </c>
      <c r="X19" s="34">
        <v>0.19</v>
      </c>
      <c r="Y19" s="34">
        <v>2.2000000000000002</v>
      </c>
      <c r="Z19" s="34">
        <v>30</v>
      </c>
      <c r="AA19" s="34">
        <v>1.3</v>
      </c>
      <c r="AB19" s="35">
        <v>77</v>
      </c>
      <c r="AC19" s="35">
        <v>250</v>
      </c>
      <c r="AD19" s="33">
        <v>16</v>
      </c>
      <c r="AE19" s="33">
        <v>180</v>
      </c>
      <c r="AF19" s="33">
        <v>26</v>
      </c>
      <c r="AG19" s="36">
        <v>0.4</v>
      </c>
      <c r="AH19" s="34">
        <v>0.6</v>
      </c>
      <c r="AI19" s="38">
        <v>0.12</v>
      </c>
      <c r="AJ19" s="39">
        <v>0.24</v>
      </c>
      <c r="AK19" s="40" t="s">
        <v>75</v>
      </c>
      <c r="AL19" s="41">
        <f t="shared" si="0"/>
        <v>36</v>
      </c>
      <c r="AM19" s="42">
        <f t="shared" si="25"/>
        <v>2.125</v>
      </c>
      <c r="AN19" s="42">
        <f t="shared" si="26"/>
        <v>1.25</v>
      </c>
      <c r="AO19" s="42">
        <f t="shared" si="31"/>
        <v>0.58823529411764708</v>
      </c>
      <c r="AP19" s="42">
        <f t="shared" si="32"/>
        <v>0.8</v>
      </c>
      <c r="AQ19" s="43">
        <f t="shared" si="1"/>
        <v>81.2</v>
      </c>
      <c r="AR19" s="44">
        <f t="shared" si="2"/>
        <v>0.69283276450511944</v>
      </c>
      <c r="AS19" s="45">
        <f t="shared" si="3"/>
        <v>0.36</v>
      </c>
      <c r="AT19" s="46">
        <f t="shared" si="27"/>
        <v>1.44</v>
      </c>
      <c r="AU19" s="42">
        <f t="shared" si="30"/>
        <v>0.5</v>
      </c>
      <c r="AV19" s="47">
        <f t="shared" si="5"/>
        <v>2.1250000000000002E-2</v>
      </c>
      <c r="AW19" s="47">
        <f t="shared" si="6"/>
        <v>0.22000000000000003</v>
      </c>
      <c r="AX19" s="47">
        <f t="shared" si="7"/>
        <v>9.9999999999999992E-2</v>
      </c>
      <c r="AY19" s="47">
        <f t="shared" si="8"/>
        <v>4.5454545454545456E-2</v>
      </c>
      <c r="AZ19" s="47">
        <f t="shared" si="9"/>
        <v>4.2857142857142858E-2</v>
      </c>
      <c r="BA19" s="47">
        <f t="shared" si="10"/>
        <v>0.22500000000000001</v>
      </c>
      <c r="BB19" s="47">
        <f t="shared" si="11"/>
        <v>0.13571428571428573</v>
      </c>
      <c r="BC19" s="47">
        <f t="shared" si="12"/>
        <v>0.88000000000000012</v>
      </c>
      <c r="BD19" s="47">
        <f t="shared" si="13"/>
        <v>0.15</v>
      </c>
      <c r="BE19" s="47">
        <f t="shared" si="14"/>
        <v>3.2083333333333332E-2</v>
      </c>
      <c r="BF19" s="47">
        <f t="shared" si="15"/>
        <v>0.125</v>
      </c>
      <c r="BG19" s="47">
        <f t="shared" si="16"/>
        <v>0.02</v>
      </c>
      <c r="BH19" s="47">
        <f t="shared" si="17"/>
        <v>0.25714285714285712</v>
      </c>
      <c r="BI19" s="47">
        <f t="shared" si="18"/>
        <v>6.933333333333333E-2</v>
      </c>
      <c r="BJ19" s="47">
        <f t="shared" si="19"/>
        <v>2.8571428571428574E-2</v>
      </c>
      <c r="BK19" s="47">
        <f t="shared" si="20"/>
        <v>0.06</v>
      </c>
      <c r="BL19" s="48">
        <f t="shared" si="21"/>
        <v>68.807142857142864</v>
      </c>
      <c r="BM19" s="48">
        <f t="shared" si="22"/>
        <v>0.308</v>
      </c>
      <c r="BN19" s="48">
        <f t="shared" si="23"/>
        <v>0.66666666666666674</v>
      </c>
      <c r="BO19" s="48">
        <f t="shared" si="24"/>
        <v>8.8888888888888892E-2</v>
      </c>
      <c r="BP19" s="48">
        <v>2.8139761904761906</v>
      </c>
      <c r="BQ19" s="48">
        <v>2.4051078551078553</v>
      </c>
    </row>
    <row r="20" spans="1:69" x14ac:dyDescent="0.3">
      <c r="A20" s="13">
        <v>0</v>
      </c>
      <c r="B20" s="14">
        <v>859</v>
      </c>
      <c r="C20" s="15" t="s">
        <v>113</v>
      </c>
      <c r="D20" s="16" t="s">
        <v>114</v>
      </c>
      <c r="E20" s="17">
        <v>88</v>
      </c>
      <c r="F20" s="18">
        <v>2.8</v>
      </c>
      <c r="G20" s="18">
        <v>0.5</v>
      </c>
      <c r="H20" s="18">
        <v>1.6</v>
      </c>
      <c r="I20" s="18">
        <v>0.2</v>
      </c>
      <c r="J20" s="18">
        <v>0</v>
      </c>
      <c r="K20" s="18">
        <v>0</v>
      </c>
      <c r="L20" s="18">
        <v>15.7</v>
      </c>
      <c r="M20" s="18">
        <v>0.4</v>
      </c>
      <c r="N20" s="18">
        <v>79.7</v>
      </c>
      <c r="O20" s="19">
        <v>24</v>
      </c>
      <c r="P20" s="19">
        <v>23</v>
      </c>
      <c r="Q20" s="18">
        <v>2.1</v>
      </c>
      <c r="R20" s="18">
        <v>1.1000000000000001</v>
      </c>
      <c r="S20" s="18">
        <v>0.01</v>
      </c>
      <c r="T20" s="18">
        <v>0.04</v>
      </c>
      <c r="U20" s="18">
        <v>1.8</v>
      </c>
      <c r="V20" s="18">
        <v>4.7</v>
      </c>
      <c r="W20" s="19">
        <v>174</v>
      </c>
      <c r="X20" s="18">
        <v>0.16</v>
      </c>
      <c r="Y20" s="18">
        <v>1.7</v>
      </c>
      <c r="Z20" s="18">
        <v>8.3000000000000007</v>
      </c>
      <c r="AA20" s="18">
        <v>1.2</v>
      </c>
      <c r="AB20" s="19">
        <v>140</v>
      </c>
      <c r="AC20" s="19">
        <v>330</v>
      </c>
      <c r="AD20" s="17">
        <v>14</v>
      </c>
      <c r="AE20" s="17">
        <v>180</v>
      </c>
      <c r="AF20" s="17">
        <v>29</v>
      </c>
      <c r="AG20" s="20">
        <v>0.1</v>
      </c>
      <c r="AH20" s="18">
        <v>0.5</v>
      </c>
      <c r="AI20" s="22">
        <v>0.12</v>
      </c>
      <c r="AJ20" s="23">
        <v>0.24</v>
      </c>
      <c r="AK20" s="49" t="s">
        <v>75</v>
      </c>
      <c r="AL20" s="25">
        <f t="shared" si="0"/>
        <v>25.2</v>
      </c>
      <c r="AM20" s="27">
        <f t="shared" si="25"/>
        <v>8</v>
      </c>
      <c r="AN20" s="27">
        <f t="shared" si="26"/>
        <v>2.5</v>
      </c>
      <c r="AO20" s="27">
        <f t="shared" si="31"/>
        <v>0.3125</v>
      </c>
      <c r="AP20" s="27">
        <f t="shared" si="32"/>
        <v>0.4</v>
      </c>
      <c r="AQ20" s="26">
        <f t="shared" si="1"/>
        <v>62.8</v>
      </c>
      <c r="AR20" s="28">
        <f t="shared" si="2"/>
        <v>0.71363636363636362</v>
      </c>
      <c r="AS20" s="29">
        <f t="shared" si="3"/>
        <v>0.36</v>
      </c>
      <c r="AT20" s="30">
        <f t="shared" si="27"/>
        <v>1.44</v>
      </c>
      <c r="AU20" s="27">
        <f t="shared" si="30"/>
        <v>0.5</v>
      </c>
      <c r="AV20" s="31">
        <f t="shared" si="5"/>
        <v>2.8750000000000001E-2</v>
      </c>
      <c r="AW20" s="31">
        <f t="shared" si="6"/>
        <v>0.42000000000000004</v>
      </c>
      <c r="AX20" s="31">
        <f t="shared" si="7"/>
        <v>9.1666666666666674E-2</v>
      </c>
      <c r="AY20" s="31">
        <f t="shared" si="8"/>
        <v>9.0909090909090905E-3</v>
      </c>
      <c r="AZ20" s="31">
        <f t="shared" si="9"/>
        <v>2.8571428571428574E-2</v>
      </c>
      <c r="BA20" s="31">
        <f t="shared" si="10"/>
        <v>0.1125</v>
      </c>
      <c r="BB20" s="31">
        <f t="shared" si="11"/>
        <v>0.1142857142857143</v>
      </c>
      <c r="BC20" s="31">
        <f t="shared" si="12"/>
        <v>0.67999999999999994</v>
      </c>
      <c r="BD20" s="31">
        <f t="shared" si="13"/>
        <v>4.1500000000000002E-2</v>
      </c>
      <c r="BE20" s="31">
        <f t="shared" si="14"/>
        <v>5.8333333333333334E-2</v>
      </c>
      <c r="BF20" s="31">
        <f t="shared" si="15"/>
        <v>0.16500000000000001</v>
      </c>
      <c r="BG20" s="31">
        <f t="shared" si="16"/>
        <v>1.7500000000000002E-2</v>
      </c>
      <c r="BH20" s="31">
        <f t="shared" si="17"/>
        <v>0.25714285714285712</v>
      </c>
      <c r="BI20" s="31">
        <f t="shared" si="18"/>
        <v>7.7333333333333337E-2</v>
      </c>
      <c r="BJ20" s="31">
        <f t="shared" si="19"/>
        <v>7.1428571428571435E-3</v>
      </c>
      <c r="BK20" s="31">
        <f t="shared" si="20"/>
        <v>0.05</v>
      </c>
      <c r="BL20" s="32">
        <f t="shared" si="21"/>
        <v>61.805952380952377</v>
      </c>
      <c r="BM20" s="32">
        <f t="shared" si="22"/>
        <v>0.42424242424242425</v>
      </c>
      <c r="BN20" s="32">
        <f t="shared" si="23"/>
        <v>0.2</v>
      </c>
      <c r="BO20" s="32">
        <f t="shared" si="24"/>
        <v>7.7777777777777779E-2</v>
      </c>
      <c r="BP20" s="32">
        <v>2.8477499999999996</v>
      </c>
      <c r="BQ20" s="32">
        <v>3.2360795454545452</v>
      </c>
    </row>
    <row r="21" spans="1:69" x14ac:dyDescent="0.3">
      <c r="A21" s="13">
        <v>0</v>
      </c>
      <c r="B21" s="14">
        <v>966</v>
      </c>
      <c r="C21" s="15" t="s">
        <v>115</v>
      </c>
      <c r="D21" s="16" t="s">
        <v>116</v>
      </c>
      <c r="E21" s="33">
        <v>83</v>
      </c>
      <c r="F21" s="34">
        <v>1.4</v>
      </c>
      <c r="G21" s="34">
        <v>0.2</v>
      </c>
      <c r="H21" s="34">
        <v>0.4</v>
      </c>
      <c r="I21" s="34">
        <v>0.4</v>
      </c>
      <c r="J21" s="34">
        <v>0</v>
      </c>
      <c r="K21" s="34">
        <v>0</v>
      </c>
      <c r="L21" s="34">
        <v>17.600000000000001</v>
      </c>
      <c r="M21" s="34">
        <v>0.3</v>
      </c>
      <c r="N21" s="34">
        <v>80</v>
      </c>
      <c r="O21" s="35">
        <v>19</v>
      </c>
      <c r="P21" s="35">
        <v>10</v>
      </c>
      <c r="Q21" s="34">
        <v>1.4</v>
      </c>
      <c r="R21" s="34">
        <v>0.5</v>
      </c>
      <c r="S21" s="34">
        <v>7.0000000000000007E-2</v>
      </c>
      <c r="T21" s="34">
        <v>0.04</v>
      </c>
      <c r="U21" s="34">
        <v>1.1000000000000001</v>
      </c>
      <c r="V21" s="34">
        <v>4.4000000000000004</v>
      </c>
      <c r="W21" s="35">
        <v>198</v>
      </c>
      <c r="X21" s="34">
        <v>0.06</v>
      </c>
      <c r="Y21" s="34">
        <v>0.72</v>
      </c>
      <c r="Z21" s="34">
        <v>18</v>
      </c>
      <c r="AA21" s="34">
        <v>1.3</v>
      </c>
      <c r="AB21" s="35">
        <v>100</v>
      </c>
      <c r="AC21" s="35">
        <v>360</v>
      </c>
      <c r="AD21" s="33">
        <v>31</v>
      </c>
      <c r="AE21" s="33">
        <v>190</v>
      </c>
      <c r="AF21" s="33">
        <v>31</v>
      </c>
      <c r="AG21" s="36">
        <v>0.3</v>
      </c>
      <c r="AH21" s="34">
        <v>0.6</v>
      </c>
      <c r="AI21" s="38">
        <v>4.2000000000000003E-2</v>
      </c>
      <c r="AJ21" s="39">
        <v>8.8999999999999996E-2</v>
      </c>
      <c r="AK21" s="239" t="s">
        <v>72</v>
      </c>
      <c r="AL21" s="41">
        <f t="shared" si="0"/>
        <v>12.6</v>
      </c>
      <c r="AM21" s="42">
        <f t="shared" si="25"/>
        <v>1</v>
      </c>
      <c r="AN21" s="42">
        <f t="shared" si="26"/>
        <v>0.5</v>
      </c>
      <c r="AO21" s="42">
        <f t="shared" si="31"/>
        <v>0.5</v>
      </c>
      <c r="AP21" s="42">
        <f t="shared" si="32"/>
        <v>2</v>
      </c>
      <c r="AQ21" s="43">
        <f t="shared" si="1"/>
        <v>70.400000000000006</v>
      </c>
      <c r="AR21" s="44">
        <f t="shared" si="2"/>
        <v>0.84819277108433744</v>
      </c>
      <c r="AS21" s="45">
        <f t="shared" si="3"/>
        <v>0.13100000000000001</v>
      </c>
      <c r="AT21" s="46">
        <f t="shared" si="27"/>
        <v>0.52400000000000002</v>
      </c>
      <c r="AU21" s="42">
        <f t="shared" si="30"/>
        <v>0.4719101123595506</v>
      </c>
      <c r="AV21" s="47">
        <f t="shared" si="5"/>
        <v>1.2500000000000001E-2</v>
      </c>
      <c r="AW21" s="47">
        <f t="shared" si="6"/>
        <v>0.27999999999999997</v>
      </c>
      <c r="AX21" s="47">
        <f t="shared" si="7"/>
        <v>4.1666666666666664E-2</v>
      </c>
      <c r="AY21" s="47">
        <f t="shared" si="8"/>
        <v>6.3636363636363644E-2</v>
      </c>
      <c r="AZ21" s="47">
        <f t="shared" si="9"/>
        <v>2.8571428571428574E-2</v>
      </c>
      <c r="BA21" s="47">
        <f t="shared" si="10"/>
        <v>6.8750000000000006E-2</v>
      </c>
      <c r="BB21" s="47">
        <f t="shared" si="11"/>
        <v>4.2857142857142858E-2</v>
      </c>
      <c r="BC21" s="47">
        <f t="shared" si="12"/>
        <v>0.28799999999999998</v>
      </c>
      <c r="BD21" s="47">
        <f t="shared" si="13"/>
        <v>0.09</v>
      </c>
      <c r="BE21" s="47">
        <f t="shared" si="14"/>
        <v>4.1666666666666664E-2</v>
      </c>
      <c r="BF21" s="47">
        <f t="shared" si="15"/>
        <v>0.18</v>
      </c>
      <c r="BG21" s="47">
        <f t="shared" si="16"/>
        <v>3.875E-2</v>
      </c>
      <c r="BH21" s="47">
        <f t="shared" si="17"/>
        <v>0.27142857142857141</v>
      </c>
      <c r="BI21" s="47">
        <f t="shared" si="18"/>
        <v>8.2666666666666666E-2</v>
      </c>
      <c r="BJ21" s="47">
        <f t="shared" si="19"/>
        <v>2.1428571428571429E-2</v>
      </c>
      <c r="BK21" s="47">
        <f t="shared" si="20"/>
        <v>0.06</v>
      </c>
      <c r="BL21" s="48">
        <f t="shared" si="21"/>
        <v>67.734523809523822</v>
      </c>
      <c r="BM21" s="48">
        <f t="shared" si="22"/>
        <v>0.27777777777777779</v>
      </c>
      <c r="BN21" s="48">
        <f t="shared" si="23"/>
        <v>0.5</v>
      </c>
      <c r="BO21" s="48">
        <f t="shared" si="24"/>
        <v>0.16315789473684211</v>
      </c>
      <c r="BP21" s="48">
        <v>1.4050238095238095</v>
      </c>
      <c r="BQ21" s="48">
        <v>1.6927997705106137</v>
      </c>
    </row>
    <row r="22" spans="1:69" x14ac:dyDescent="0.3">
      <c r="A22" s="13">
        <v>0</v>
      </c>
      <c r="B22" s="14">
        <v>862</v>
      </c>
      <c r="C22" s="15" t="s">
        <v>117</v>
      </c>
      <c r="D22" s="16" t="s">
        <v>118</v>
      </c>
      <c r="E22" s="17">
        <v>81</v>
      </c>
      <c r="F22" s="18">
        <v>1.3</v>
      </c>
      <c r="G22" s="18">
        <v>0.2</v>
      </c>
      <c r="H22" s="18">
        <v>0.4</v>
      </c>
      <c r="I22" s="18">
        <v>0.4</v>
      </c>
      <c r="J22" s="18">
        <v>0</v>
      </c>
      <c r="K22" s="18">
        <v>0</v>
      </c>
      <c r="L22" s="18">
        <v>17.2</v>
      </c>
      <c r="M22" s="18">
        <v>0.3</v>
      </c>
      <c r="N22" s="18">
        <v>81</v>
      </c>
      <c r="O22" s="19">
        <v>19</v>
      </c>
      <c r="P22" s="19">
        <v>7</v>
      </c>
      <c r="Q22" s="18">
        <v>1.1000000000000001</v>
      </c>
      <c r="R22" s="18">
        <v>0.4</v>
      </c>
      <c r="S22" s="18">
        <v>0.05</v>
      </c>
      <c r="T22" s="18">
        <v>0.04</v>
      </c>
      <c r="U22" s="18">
        <v>0.86</v>
      </c>
      <c r="V22" s="18">
        <v>4.0999999999999996</v>
      </c>
      <c r="W22" s="19">
        <v>192</v>
      </c>
      <c r="X22" s="18">
        <v>0.04</v>
      </c>
      <c r="Y22" s="18">
        <v>0.6</v>
      </c>
      <c r="Z22" s="18">
        <v>13</v>
      </c>
      <c r="AA22" s="18">
        <v>1.3</v>
      </c>
      <c r="AB22" s="19">
        <v>120</v>
      </c>
      <c r="AC22" s="19">
        <v>330</v>
      </c>
      <c r="AD22" s="17">
        <v>20</v>
      </c>
      <c r="AE22" s="17">
        <v>180</v>
      </c>
      <c r="AF22" s="17">
        <v>37</v>
      </c>
      <c r="AG22" s="20">
        <v>0.3</v>
      </c>
      <c r="AH22" s="18">
        <v>0.6</v>
      </c>
      <c r="AI22" s="22">
        <v>4.2000000000000003E-2</v>
      </c>
      <c r="AJ22" s="23">
        <v>8.8999999999999996E-2</v>
      </c>
      <c r="AK22" s="24" t="s">
        <v>72</v>
      </c>
      <c r="AL22" s="25">
        <f t="shared" si="0"/>
        <v>11.700000000000001</v>
      </c>
      <c r="AM22" s="27">
        <f t="shared" si="25"/>
        <v>1</v>
      </c>
      <c r="AN22" s="27">
        <f t="shared" si="26"/>
        <v>0.5</v>
      </c>
      <c r="AO22" s="27">
        <f t="shared" si="31"/>
        <v>0.5</v>
      </c>
      <c r="AP22" s="27">
        <f t="shared" si="32"/>
        <v>2</v>
      </c>
      <c r="AQ22" s="26">
        <f t="shared" si="1"/>
        <v>68.8</v>
      </c>
      <c r="AR22" s="28">
        <f t="shared" si="2"/>
        <v>0.85465838509316772</v>
      </c>
      <c r="AS22" s="29">
        <f t="shared" si="3"/>
        <v>0.13100000000000001</v>
      </c>
      <c r="AT22" s="30">
        <f t="shared" si="27"/>
        <v>0.52400000000000002</v>
      </c>
      <c r="AU22" s="27">
        <f t="shared" si="30"/>
        <v>0.4719101123595506</v>
      </c>
      <c r="AV22" s="31">
        <f t="shared" si="5"/>
        <v>8.7500000000000008E-3</v>
      </c>
      <c r="AW22" s="31">
        <f t="shared" si="6"/>
        <v>0.22000000000000003</v>
      </c>
      <c r="AX22" s="31">
        <f t="shared" si="7"/>
        <v>3.3333333333333333E-2</v>
      </c>
      <c r="AY22" s="31">
        <f t="shared" si="8"/>
        <v>4.5454545454545456E-2</v>
      </c>
      <c r="AZ22" s="31">
        <f t="shared" si="9"/>
        <v>2.8571428571428574E-2</v>
      </c>
      <c r="BA22" s="31">
        <f t="shared" si="10"/>
        <v>5.3749999999999999E-2</v>
      </c>
      <c r="BB22" s="31">
        <f t="shared" si="11"/>
        <v>2.8571428571428574E-2</v>
      </c>
      <c r="BC22" s="31">
        <f t="shared" si="12"/>
        <v>0.24</v>
      </c>
      <c r="BD22" s="31">
        <f t="shared" si="13"/>
        <v>6.5000000000000002E-2</v>
      </c>
      <c r="BE22" s="31">
        <f t="shared" si="14"/>
        <v>0.05</v>
      </c>
      <c r="BF22" s="31">
        <f t="shared" si="15"/>
        <v>0.16500000000000001</v>
      </c>
      <c r="BG22" s="31">
        <f t="shared" si="16"/>
        <v>2.5000000000000001E-2</v>
      </c>
      <c r="BH22" s="31">
        <f t="shared" si="17"/>
        <v>0.25714285714285712</v>
      </c>
      <c r="BI22" s="31">
        <f t="shared" si="18"/>
        <v>9.8666666666666666E-2</v>
      </c>
      <c r="BJ22" s="31">
        <f t="shared" si="19"/>
        <v>2.1428571428571429E-2</v>
      </c>
      <c r="BK22" s="31">
        <f t="shared" si="20"/>
        <v>0.06</v>
      </c>
      <c r="BL22" s="32">
        <f t="shared" si="21"/>
        <v>63.61785714285714</v>
      </c>
      <c r="BM22" s="32">
        <f t="shared" si="22"/>
        <v>0.36363636363636365</v>
      </c>
      <c r="BN22" s="32">
        <f t="shared" si="23"/>
        <v>0.5</v>
      </c>
      <c r="BO22" s="32">
        <f t="shared" si="24"/>
        <v>0.1111111111111111</v>
      </c>
      <c r="BP22" s="32">
        <v>1.271654761904762</v>
      </c>
      <c r="BQ22" s="32">
        <v>1.5699441504997063</v>
      </c>
    </row>
    <row r="23" spans="1:69" x14ac:dyDescent="0.3">
      <c r="A23" s="13">
        <v>0</v>
      </c>
      <c r="B23" s="14">
        <v>865</v>
      </c>
      <c r="C23" s="15" t="s">
        <v>119</v>
      </c>
      <c r="D23" s="16" t="s">
        <v>120</v>
      </c>
      <c r="E23" s="33">
        <v>86</v>
      </c>
      <c r="F23" s="34">
        <v>1.5</v>
      </c>
      <c r="G23" s="34">
        <v>0.3</v>
      </c>
      <c r="H23" s="34">
        <v>0.4</v>
      </c>
      <c r="I23" s="34">
        <v>0.4</v>
      </c>
      <c r="J23" s="34">
        <v>0</v>
      </c>
      <c r="K23" s="34">
        <v>0</v>
      </c>
      <c r="L23" s="34">
        <v>18</v>
      </c>
      <c r="M23" s="34">
        <v>0.2</v>
      </c>
      <c r="N23" s="34">
        <v>78.7</v>
      </c>
      <c r="O23" s="35">
        <v>19</v>
      </c>
      <c r="P23" s="35">
        <v>5</v>
      </c>
      <c r="Q23" s="34">
        <v>1.3</v>
      </c>
      <c r="R23" s="34">
        <v>0.69</v>
      </c>
      <c r="S23" s="34">
        <v>0.1</v>
      </c>
      <c r="T23" s="34">
        <v>0.05</v>
      </c>
      <c r="U23" s="34">
        <v>1.3</v>
      </c>
      <c r="V23" s="34">
        <v>4.7</v>
      </c>
      <c r="W23" s="35">
        <v>204</v>
      </c>
      <c r="X23" s="34">
        <v>0.09</v>
      </c>
      <c r="Y23" s="34">
        <v>0.84</v>
      </c>
      <c r="Z23" s="34">
        <v>22</v>
      </c>
      <c r="AA23" s="34">
        <v>1.3</v>
      </c>
      <c r="AB23" s="35">
        <v>85</v>
      </c>
      <c r="AC23" s="35">
        <v>380</v>
      </c>
      <c r="AD23" s="33">
        <v>43</v>
      </c>
      <c r="AE23" s="33">
        <v>200</v>
      </c>
      <c r="AF23" s="33">
        <v>26</v>
      </c>
      <c r="AG23" s="36">
        <v>0.3</v>
      </c>
      <c r="AH23" s="34">
        <v>0.5</v>
      </c>
      <c r="AI23" s="38">
        <v>4.2000000000000003E-2</v>
      </c>
      <c r="AJ23" s="39">
        <v>8.8999999999999996E-2</v>
      </c>
      <c r="AK23" s="50" t="s">
        <v>72</v>
      </c>
      <c r="AL23" s="41">
        <f t="shared" si="0"/>
        <v>13.5</v>
      </c>
      <c r="AM23" s="42">
        <f t="shared" si="25"/>
        <v>1</v>
      </c>
      <c r="AN23" s="42">
        <f t="shared" si="26"/>
        <v>0.74999999999999989</v>
      </c>
      <c r="AO23" s="42">
        <f t="shared" si="31"/>
        <v>0.74999999999999989</v>
      </c>
      <c r="AP23" s="42">
        <f t="shared" si="32"/>
        <v>1.3333333333333335</v>
      </c>
      <c r="AQ23" s="43">
        <f t="shared" si="1"/>
        <v>72</v>
      </c>
      <c r="AR23" s="44">
        <f t="shared" si="2"/>
        <v>0.84210526315789469</v>
      </c>
      <c r="AS23" s="45">
        <f t="shared" si="3"/>
        <v>0.13100000000000001</v>
      </c>
      <c r="AT23" s="46">
        <f t="shared" si="27"/>
        <v>0.52400000000000002</v>
      </c>
      <c r="AU23" s="42">
        <f t="shared" si="30"/>
        <v>0.4719101123595506</v>
      </c>
      <c r="AV23" s="47">
        <f t="shared" si="5"/>
        <v>6.2500000000000003E-3</v>
      </c>
      <c r="AW23" s="47">
        <f t="shared" si="6"/>
        <v>0.26</v>
      </c>
      <c r="AX23" s="47">
        <f t="shared" si="7"/>
        <v>5.7499999999999996E-2</v>
      </c>
      <c r="AY23" s="47">
        <f t="shared" si="8"/>
        <v>9.0909090909090912E-2</v>
      </c>
      <c r="AZ23" s="47">
        <f t="shared" si="9"/>
        <v>3.5714285714285719E-2</v>
      </c>
      <c r="BA23" s="47">
        <f t="shared" si="10"/>
        <v>8.1250000000000003E-2</v>
      </c>
      <c r="BB23" s="47">
        <f t="shared" si="11"/>
        <v>6.4285714285714293E-2</v>
      </c>
      <c r="BC23" s="47">
        <f t="shared" si="12"/>
        <v>0.33599999999999997</v>
      </c>
      <c r="BD23" s="47">
        <f t="shared" si="13"/>
        <v>0.11</v>
      </c>
      <c r="BE23" s="47">
        <f t="shared" si="14"/>
        <v>3.5416666666666666E-2</v>
      </c>
      <c r="BF23" s="47">
        <f t="shared" si="15"/>
        <v>0.19</v>
      </c>
      <c r="BG23" s="47">
        <f t="shared" si="16"/>
        <v>5.3749999999999999E-2</v>
      </c>
      <c r="BH23" s="47">
        <f t="shared" si="17"/>
        <v>0.2857142857142857</v>
      </c>
      <c r="BI23" s="47">
        <f t="shared" si="18"/>
        <v>6.933333333333333E-2</v>
      </c>
      <c r="BJ23" s="47">
        <f t="shared" si="19"/>
        <v>2.1428571428571429E-2</v>
      </c>
      <c r="BK23" s="47">
        <f t="shared" si="20"/>
        <v>0.05</v>
      </c>
      <c r="BL23" s="48">
        <f t="shared" si="21"/>
        <v>70.784523809523819</v>
      </c>
      <c r="BM23" s="48">
        <f t="shared" si="22"/>
        <v>0.22368421052631579</v>
      </c>
      <c r="BN23" s="48">
        <f t="shared" si="23"/>
        <v>0.6</v>
      </c>
      <c r="BO23" s="48">
        <f t="shared" si="24"/>
        <v>0.215</v>
      </c>
      <c r="BP23" s="48">
        <v>1.4432619047619044</v>
      </c>
      <c r="BQ23" s="48">
        <v>1.6782115171650052</v>
      </c>
    </row>
    <row r="24" spans="1:69" x14ac:dyDescent="0.3">
      <c r="A24" s="13">
        <v>0</v>
      </c>
      <c r="B24" s="14">
        <v>868</v>
      </c>
      <c r="C24" s="15" t="s">
        <v>121</v>
      </c>
      <c r="D24" s="16" t="s">
        <v>122</v>
      </c>
      <c r="E24" s="17">
        <v>75</v>
      </c>
      <c r="F24" s="18">
        <v>0.8</v>
      </c>
      <c r="G24" s="18">
        <v>0.1</v>
      </c>
      <c r="H24" s="18">
        <v>0.1</v>
      </c>
      <c r="I24" s="18">
        <v>0.3</v>
      </c>
      <c r="J24" s="18">
        <v>0.1</v>
      </c>
      <c r="K24" s="18">
        <v>0</v>
      </c>
      <c r="L24" s="18">
        <v>17</v>
      </c>
      <c r="M24" s="18">
        <v>0.2</v>
      </c>
      <c r="N24" s="18">
        <v>81.099999999999994</v>
      </c>
      <c r="O24" s="19">
        <v>19</v>
      </c>
      <c r="P24" s="19">
        <v>3</v>
      </c>
      <c r="Q24" s="18">
        <v>5.6</v>
      </c>
      <c r="R24" s="18">
        <v>0.24</v>
      </c>
      <c r="S24" s="18">
        <v>0.02</v>
      </c>
      <c r="T24" s="18">
        <v>0.04</v>
      </c>
      <c r="U24" s="18">
        <v>1.2</v>
      </c>
      <c r="V24" s="18">
        <v>4.4000000000000004</v>
      </c>
      <c r="W24" s="19">
        <v>192</v>
      </c>
      <c r="X24" s="18">
        <v>0.04</v>
      </c>
      <c r="Y24" s="18">
        <v>0.63</v>
      </c>
      <c r="Z24" s="18">
        <v>27</v>
      </c>
      <c r="AA24" s="18">
        <v>1.1000000000000001</v>
      </c>
      <c r="AB24" s="19">
        <v>69</v>
      </c>
      <c r="AC24" s="19">
        <v>410</v>
      </c>
      <c r="AD24" s="17">
        <v>15</v>
      </c>
      <c r="AE24" s="17">
        <v>220</v>
      </c>
      <c r="AF24" s="17">
        <v>26</v>
      </c>
      <c r="AG24" s="20">
        <v>0.5</v>
      </c>
      <c r="AH24" s="18">
        <v>0.7</v>
      </c>
      <c r="AI24" s="22">
        <v>4.2000000000000003E-2</v>
      </c>
      <c r="AJ24" s="23">
        <v>8.8999999999999996E-2</v>
      </c>
      <c r="AK24" s="24" t="s">
        <v>72</v>
      </c>
      <c r="AL24" s="25">
        <f t="shared" si="0"/>
        <v>7.2</v>
      </c>
      <c r="AM24" s="27">
        <f t="shared" si="25"/>
        <v>0.33333333333333337</v>
      </c>
      <c r="AN24" s="27">
        <f t="shared" si="26"/>
        <v>0.33333333333333337</v>
      </c>
      <c r="AO24" s="27">
        <f t="shared" si="31"/>
        <v>1</v>
      </c>
      <c r="AP24" s="27">
        <f t="shared" si="32"/>
        <v>2.9999999999999996</v>
      </c>
      <c r="AQ24" s="26">
        <f t="shared" si="1"/>
        <v>68</v>
      </c>
      <c r="AR24" s="28">
        <f t="shared" si="2"/>
        <v>0.90425531914893609</v>
      </c>
      <c r="AS24" s="29">
        <f t="shared" si="3"/>
        <v>0.13100000000000001</v>
      </c>
      <c r="AT24" s="30">
        <f t="shared" si="27"/>
        <v>0.52400000000000002</v>
      </c>
      <c r="AU24" s="27">
        <f t="shared" si="30"/>
        <v>0.4719101123595506</v>
      </c>
      <c r="AV24" s="31">
        <f t="shared" si="5"/>
        <v>3.7499999999999999E-3</v>
      </c>
      <c r="AW24" s="31">
        <f t="shared" si="6"/>
        <v>1.1199999999999999</v>
      </c>
      <c r="AX24" s="31">
        <f t="shared" si="7"/>
        <v>0.02</v>
      </c>
      <c r="AY24" s="31">
        <f t="shared" si="8"/>
        <v>1.8181818181818181E-2</v>
      </c>
      <c r="AZ24" s="31">
        <f t="shared" si="9"/>
        <v>2.8571428571428574E-2</v>
      </c>
      <c r="BA24" s="31">
        <f t="shared" si="10"/>
        <v>7.4999999999999997E-2</v>
      </c>
      <c r="BB24" s="31">
        <f t="shared" si="11"/>
        <v>2.8571428571428574E-2</v>
      </c>
      <c r="BC24" s="31">
        <f t="shared" si="12"/>
        <v>0.252</v>
      </c>
      <c r="BD24" s="31">
        <f t="shared" si="13"/>
        <v>0.13500000000000001</v>
      </c>
      <c r="BE24" s="31">
        <f t="shared" si="14"/>
        <v>2.8750000000000001E-2</v>
      </c>
      <c r="BF24" s="31">
        <f t="shared" si="15"/>
        <v>0.20499999999999999</v>
      </c>
      <c r="BG24" s="31">
        <f t="shared" si="16"/>
        <v>1.8749999999999999E-2</v>
      </c>
      <c r="BH24" s="31">
        <f t="shared" si="17"/>
        <v>0.31428571428571428</v>
      </c>
      <c r="BI24" s="31">
        <f t="shared" si="18"/>
        <v>6.933333333333333E-2</v>
      </c>
      <c r="BJ24" s="31">
        <f t="shared" si="19"/>
        <v>3.5714285714285712E-2</v>
      </c>
      <c r="BK24" s="31">
        <f t="shared" si="20"/>
        <v>6.9999999999999993E-2</v>
      </c>
      <c r="BL24" s="32">
        <f t="shared" si="21"/>
        <v>65.879761904761907</v>
      </c>
      <c r="BM24" s="32">
        <f t="shared" si="22"/>
        <v>0.16829268292682928</v>
      </c>
      <c r="BN24" s="32">
        <f t="shared" si="23"/>
        <v>0.7142857142857143</v>
      </c>
      <c r="BO24" s="32">
        <f t="shared" si="24"/>
        <v>6.8181818181818177E-2</v>
      </c>
      <c r="BP24" s="32">
        <v>2.2398571428571419</v>
      </c>
      <c r="BQ24" s="32">
        <v>2.9864761904761892</v>
      </c>
    </row>
    <row r="25" spans="1:69" x14ac:dyDescent="0.3">
      <c r="A25" s="13">
        <v>0</v>
      </c>
      <c r="B25" s="14">
        <v>870</v>
      </c>
      <c r="C25" s="15" t="s">
        <v>123</v>
      </c>
      <c r="D25" s="16" t="s">
        <v>124</v>
      </c>
      <c r="E25" s="33">
        <v>58</v>
      </c>
      <c r="F25" s="34">
        <v>0.2</v>
      </c>
      <c r="G25" s="34">
        <v>0</v>
      </c>
      <c r="H25" s="34">
        <v>0</v>
      </c>
      <c r="I25" s="34">
        <v>0.1</v>
      </c>
      <c r="J25" s="34">
        <v>0</v>
      </c>
      <c r="K25" s="34">
        <v>0</v>
      </c>
      <c r="L25" s="34">
        <v>14.1</v>
      </c>
      <c r="M25" s="34">
        <v>0.6</v>
      </c>
      <c r="N25" s="34">
        <v>77.599999999999994</v>
      </c>
      <c r="O25" s="35">
        <v>39</v>
      </c>
      <c r="P25" s="35">
        <v>2</v>
      </c>
      <c r="Q25" s="34">
        <v>0.4</v>
      </c>
      <c r="R25" s="34">
        <v>0.24</v>
      </c>
      <c r="S25" s="34">
        <v>0.03</v>
      </c>
      <c r="T25" s="34">
        <v>0.03</v>
      </c>
      <c r="U25" s="34">
        <v>1.7</v>
      </c>
      <c r="V25" s="34">
        <v>4.3</v>
      </c>
      <c r="W25" s="35">
        <v>156</v>
      </c>
      <c r="X25" s="34">
        <v>0.19</v>
      </c>
      <c r="Y25" s="34">
        <v>0.47</v>
      </c>
      <c r="Z25" s="34">
        <v>12</v>
      </c>
      <c r="AA25" s="34">
        <v>1.9</v>
      </c>
      <c r="AB25" s="35">
        <v>220</v>
      </c>
      <c r="AC25" s="35">
        <v>260</v>
      </c>
      <c r="AD25" s="33">
        <v>160</v>
      </c>
      <c r="AE25" s="33">
        <v>320</v>
      </c>
      <c r="AF25" s="33">
        <v>28</v>
      </c>
      <c r="AG25" s="36">
        <v>0.3</v>
      </c>
      <c r="AH25" s="34">
        <v>0.8</v>
      </c>
      <c r="AI25" s="38">
        <v>0</v>
      </c>
      <c r="AJ25" s="39">
        <v>0</v>
      </c>
      <c r="AK25" s="40" t="s">
        <v>81</v>
      </c>
      <c r="AL25" s="41">
        <f t="shared" si="0"/>
        <v>1.8</v>
      </c>
      <c r="AM25" s="42">
        <f t="shared" si="25"/>
        <v>0</v>
      </c>
      <c r="AN25" s="42">
        <f t="shared" si="26"/>
        <v>0</v>
      </c>
      <c r="AO25" s="42">
        <v>0</v>
      </c>
      <c r="AP25" s="42">
        <v>0</v>
      </c>
      <c r="AQ25" s="43">
        <f t="shared" si="1"/>
        <v>56.4</v>
      </c>
      <c r="AR25" s="44">
        <f t="shared" si="2"/>
        <v>0.96907216494845361</v>
      </c>
      <c r="AS25" s="45">
        <f t="shared" si="3"/>
        <v>0</v>
      </c>
      <c r="AT25" s="46">
        <f t="shared" si="27"/>
        <v>0</v>
      </c>
      <c r="AU25" s="42">
        <v>0</v>
      </c>
      <c r="AV25" s="47">
        <f t="shared" si="5"/>
        <v>2.5000000000000001E-3</v>
      </c>
      <c r="AW25" s="47">
        <f t="shared" si="6"/>
        <v>0.08</v>
      </c>
      <c r="AX25" s="47">
        <f t="shared" si="7"/>
        <v>0.02</v>
      </c>
      <c r="AY25" s="47">
        <f t="shared" si="8"/>
        <v>2.7272727272727268E-2</v>
      </c>
      <c r="AZ25" s="47">
        <f t="shared" si="9"/>
        <v>2.1428571428571429E-2</v>
      </c>
      <c r="BA25" s="47">
        <f t="shared" si="10"/>
        <v>0.10625</v>
      </c>
      <c r="BB25" s="47">
        <f t="shared" si="11"/>
        <v>0.13571428571428573</v>
      </c>
      <c r="BC25" s="47">
        <f t="shared" si="12"/>
        <v>0.188</v>
      </c>
      <c r="BD25" s="47">
        <f t="shared" si="13"/>
        <v>0.06</v>
      </c>
      <c r="BE25" s="47">
        <f t="shared" si="14"/>
        <v>9.166666666666666E-2</v>
      </c>
      <c r="BF25" s="47">
        <f t="shared" si="15"/>
        <v>0.13</v>
      </c>
      <c r="BG25" s="47">
        <f t="shared" si="16"/>
        <v>0.2</v>
      </c>
      <c r="BH25" s="47">
        <f t="shared" si="17"/>
        <v>0.45714285714285713</v>
      </c>
      <c r="BI25" s="47">
        <f t="shared" si="18"/>
        <v>7.4666666666666673E-2</v>
      </c>
      <c r="BJ25" s="47">
        <f t="shared" si="19"/>
        <v>2.1428571428571429E-2</v>
      </c>
      <c r="BK25" s="47">
        <f t="shared" si="20"/>
        <v>0.08</v>
      </c>
      <c r="BL25" s="48">
        <f t="shared" si="21"/>
        <v>63.892857142857139</v>
      </c>
      <c r="BM25" s="48">
        <f t="shared" si="22"/>
        <v>0.84615384615384615</v>
      </c>
      <c r="BN25" s="48">
        <f t="shared" si="23"/>
        <v>0.37499999999999994</v>
      </c>
      <c r="BO25" s="48">
        <f t="shared" si="24"/>
        <v>0.5</v>
      </c>
      <c r="BP25" s="48">
        <v>0.51207142857142851</v>
      </c>
      <c r="BQ25" s="48">
        <v>0.88288177339901464</v>
      </c>
    </row>
    <row r="26" spans="1:69" x14ac:dyDescent="0.3">
      <c r="A26" s="13">
        <v>0</v>
      </c>
      <c r="B26" s="14">
        <v>871</v>
      </c>
      <c r="C26" s="15" t="s">
        <v>125</v>
      </c>
      <c r="D26" s="16" t="s">
        <v>126</v>
      </c>
      <c r="E26" s="17">
        <v>106</v>
      </c>
      <c r="F26" s="18">
        <v>3.5</v>
      </c>
      <c r="G26" s="18">
        <v>0.8</v>
      </c>
      <c r="H26" s="18">
        <v>0.9</v>
      </c>
      <c r="I26" s="18">
        <v>0.8</v>
      </c>
      <c r="J26" s="18">
        <v>0.18</v>
      </c>
      <c r="K26" s="18">
        <v>0</v>
      </c>
      <c r="L26" s="18">
        <v>18.5</v>
      </c>
      <c r="M26" s="18">
        <v>0.2</v>
      </c>
      <c r="N26" s="18">
        <v>71.8</v>
      </c>
      <c r="O26" s="19">
        <v>52</v>
      </c>
      <c r="P26" s="19">
        <v>36</v>
      </c>
      <c r="Q26" s="18">
        <v>5</v>
      </c>
      <c r="R26" s="18">
        <v>0.17</v>
      </c>
      <c r="S26" s="18">
        <v>0.26</v>
      </c>
      <c r="T26" s="18">
        <v>0.08</v>
      </c>
      <c r="U26" s="18">
        <v>2.7</v>
      </c>
      <c r="V26" s="18">
        <v>6.2</v>
      </c>
      <c r="W26" s="19">
        <v>210</v>
      </c>
      <c r="X26" s="18">
        <v>0.49</v>
      </c>
      <c r="Y26" s="18">
        <v>1.3</v>
      </c>
      <c r="Z26" s="18">
        <v>9.5</v>
      </c>
      <c r="AA26" s="18">
        <v>1.7</v>
      </c>
      <c r="AB26" s="19">
        <v>95</v>
      </c>
      <c r="AC26" s="19">
        <v>350</v>
      </c>
      <c r="AD26" s="17">
        <v>52</v>
      </c>
      <c r="AE26" s="17">
        <v>230</v>
      </c>
      <c r="AF26" s="17">
        <v>38</v>
      </c>
      <c r="AG26" s="20">
        <v>0.4</v>
      </c>
      <c r="AH26" s="18">
        <v>1.2</v>
      </c>
      <c r="AI26" s="22">
        <v>0.3</v>
      </c>
      <c r="AJ26" s="23">
        <v>0.5</v>
      </c>
      <c r="AK26" s="49" t="s">
        <v>78</v>
      </c>
      <c r="AL26" s="25">
        <f t="shared" si="0"/>
        <v>31.5</v>
      </c>
      <c r="AM26" s="27">
        <f t="shared" si="25"/>
        <v>1.125</v>
      </c>
      <c r="AN26" s="27">
        <f t="shared" si="26"/>
        <v>1</v>
      </c>
      <c r="AO26" s="27">
        <f>G26/H26</f>
        <v>0.88888888888888895</v>
      </c>
      <c r="AP26" s="27">
        <f>I26/G26</f>
        <v>1</v>
      </c>
      <c r="AQ26" s="26">
        <f t="shared" si="1"/>
        <v>74</v>
      </c>
      <c r="AR26" s="28">
        <f t="shared" si="2"/>
        <v>0.70142180094786732</v>
      </c>
      <c r="AS26" s="29">
        <f t="shared" si="3"/>
        <v>0.8</v>
      </c>
      <c r="AT26" s="30">
        <f t="shared" si="27"/>
        <v>3.2</v>
      </c>
      <c r="AU26" s="27">
        <f>AI26/AJ26</f>
        <v>0.6</v>
      </c>
      <c r="AV26" s="31">
        <f t="shared" si="5"/>
        <v>4.4999999999999998E-2</v>
      </c>
      <c r="AW26" s="31">
        <f t="shared" si="6"/>
        <v>1</v>
      </c>
      <c r="AX26" s="31">
        <f t="shared" si="7"/>
        <v>1.4166666666666668E-2</v>
      </c>
      <c r="AY26" s="31">
        <f t="shared" si="8"/>
        <v>0.23636363636363636</v>
      </c>
      <c r="AZ26" s="31">
        <f t="shared" si="9"/>
        <v>5.7142857142857148E-2</v>
      </c>
      <c r="BA26" s="31">
        <f t="shared" si="10"/>
        <v>0.16875000000000001</v>
      </c>
      <c r="BB26" s="31">
        <f t="shared" si="11"/>
        <v>0.35000000000000003</v>
      </c>
      <c r="BC26" s="31">
        <f t="shared" si="12"/>
        <v>0.52</v>
      </c>
      <c r="BD26" s="31">
        <f t="shared" si="13"/>
        <v>4.7500000000000001E-2</v>
      </c>
      <c r="BE26" s="31">
        <f t="shared" si="14"/>
        <v>3.9583333333333331E-2</v>
      </c>
      <c r="BF26" s="31">
        <f t="shared" si="15"/>
        <v>0.17499999999999999</v>
      </c>
      <c r="BG26" s="31">
        <f t="shared" si="16"/>
        <v>6.5000000000000002E-2</v>
      </c>
      <c r="BH26" s="31">
        <f t="shared" si="17"/>
        <v>0.32857142857142857</v>
      </c>
      <c r="BI26" s="31">
        <f t="shared" si="18"/>
        <v>0.10133333333333333</v>
      </c>
      <c r="BJ26" s="31">
        <f t="shared" si="19"/>
        <v>2.8571428571428574E-2</v>
      </c>
      <c r="BK26" s="31">
        <f t="shared" si="20"/>
        <v>0.12</v>
      </c>
      <c r="BL26" s="32">
        <f t="shared" si="21"/>
        <v>71.94880952380953</v>
      </c>
      <c r="BM26" s="32">
        <f t="shared" si="22"/>
        <v>0.27142857142857141</v>
      </c>
      <c r="BN26" s="32">
        <f t="shared" si="23"/>
        <v>0.33333333333333337</v>
      </c>
      <c r="BO26" s="32">
        <f t="shared" si="24"/>
        <v>0.22608695652173913</v>
      </c>
      <c r="BP26" s="32">
        <v>5.3441309523809526</v>
      </c>
      <c r="BQ26" s="32">
        <v>5.0416329739442949</v>
      </c>
    </row>
    <row r="27" spans="1:69" x14ac:dyDescent="0.3">
      <c r="A27" s="13">
        <v>0</v>
      </c>
      <c r="B27" s="14">
        <v>875</v>
      </c>
      <c r="C27" s="15" t="s">
        <v>127</v>
      </c>
      <c r="D27" s="16" t="s">
        <v>128</v>
      </c>
      <c r="E27" s="33">
        <v>109</v>
      </c>
      <c r="F27" s="34">
        <v>4.2</v>
      </c>
      <c r="G27" s="34">
        <v>1.2</v>
      </c>
      <c r="H27" s="34">
        <v>2.1</v>
      </c>
      <c r="I27" s="34">
        <v>0.8</v>
      </c>
      <c r="J27" s="34">
        <v>0</v>
      </c>
      <c r="K27" s="34">
        <v>0</v>
      </c>
      <c r="L27" s="34">
        <v>17.7</v>
      </c>
      <c r="M27" s="34">
        <v>0.2</v>
      </c>
      <c r="N27" s="34">
        <v>76.400000000000006</v>
      </c>
      <c r="O27" s="35">
        <v>49</v>
      </c>
      <c r="P27" s="35">
        <v>267</v>
      </c>
      <c r="Q27" s="34">
        <v>91</v>
      </c>
      <c r="R27" s="34">
        <v>1.5</v>
      </c>
      <c r="S27" s="34">
        <v>0.04</v>
      </c>
      <c r="T27" s="34">
        <v>0.05</v>
      </c>
      <c r="U27" s="34">
        <v>1.5</v>
      </c>
      <c r="V27" s="34">
        <v>4.8</v>
      </c>
      <c r="W27" s="35">
        <v>198</v>
      </c>
      <c r="X27" s="34">
        <v>0.55000000000000004</v>
      </c>
      <c r="Y27" s="34">
        <v>0.3</v>
      </c>
      <c r="Z27" s="34">
        <v>13</v>
      </c>
      <c r="AA27" s="34">
        <v>1</v>
      </c>
      <c r="AB27" s="35">
        <v>84</v>
      </c>
      <c r="AC27" s="35">
        <v>340</v>
      </c>
      <c r="AD27" s="33">
        <v>130</v>
      </c>
      <c r="AE27" s="33">
        <v>220</v>
      </c>
      <c r="AF27" s="33">
        <v>28</v>
      </c>
      <c r="AG27" s="36">
        <v>0.2</v>
      </c>
      <c r="AH27" s="34">
        <v>1.1000000000000001</v>
      </c>
      <c r="AI27" s="38">
        <v>0.4</v>
      </c>
      <c r="AJ27" s="39">
        <v>0.6</v>
      </c>
      <c r="AK27" s="40" t="s">
        <v>81</v>
      </c>
      <c r="AL27" s="41">
        <f t="shared" si="0"/>
        <v>37.800000000000004</v>
      </c>
      <c r="AM27" s="42">
        <f t="shared" si="25"/>
        <v>2.625</v>
      </c>
      <c r="AN27" s="42">
        <f t="shared" si="26"/>
        <v>1.4999999999999998</v>
      </c>
      <c r="AO27" s="42">
        <f>G27/H27</f>
        <v>0.5714285714285714</v>
      </c>
      <c r="AP27" s="42">
        <f>I27/G27</f>
        <v>0.66666666666666674</v>
      </c>
      <c r="AQ27" s="43">
        <f t="shared" si="1"/>
        <v>70.8</v>
      </c>
      <c r="AR27" s="44">
        <f t="shared" si="2"/>
        <v>0.65193370165745856</v>
      </c>
      <c r="AS27" s="45">
        <f t="shared" si="3"/>
        <v>1</v>
      </c>
      <c r="AT27" s="46">
        <f t="shared" si="27"/>
        <v>4</v>
      </c>
      <c r="AU27" s="42">
        <f>AI27/AJ27</f>
        <v>0.66666666666666674</v>
      </c>
      <c r="AV27" s="47">
        <f t="shared" si="5"/>
        <v>0.33374999999999999</v>
      </c>
      <c r="AW27" s="47">
        <f t="shared" si="6"/>
        <v>18.2</v>
      </c>
      <c r="AX27" s="47">
        <f t="shared" si="7"/>
        <v>0.125</v>
      </c>
      <c r="AY27" s="47">
        <f t="shared" si="8"/>
        <v>3.6363636363636362E-2</v>
      </c>
      <c r="AZ27" s="47">
        <f t="shared" si="9"/>
        <v>3.5714285714285719E-2</v>
      </c>
      <c r="BA27" s="47">
        <f t="shared" si="10"/>
        <v>9.375E-2</v>
      </c>
      <c r="BB27" s="47">
        <f t="shared" si="11"/>
        <v>0.3928571428571429</v>
      </c>
      <c r="BC27" s="47">
        <f t="shared" si="12"/>
        <v>0.12</v>
      </c>
      <c r="BD27" s="47">
        <f t="shared" si="13"/>
        <v>6.5000000000000002E-2</v>
      </c>
      <c r="BE27" s="47">
        <f t="shared" si="14"/>
        <v>3.5000000000000003E-2</v>
      </c>
      <c r="BF27" s="47">
        <f t="shared" si="15"/>
        <v>0.17</v>
      </c>
      <c r="BG27" s="47">
        <f t="shared" si="16"/>
        <v>0.16250000000000001</v>
      </c>
      <c r="BH27" s="47">
        <f t="shared" si="17"/>
        <v>0.31428571428571428</v>
      </c>
      <c r="BI27" s="47">
        <f t="shared" si="18"/>
        <v>7.4666666666666673E-2</v>
      </c>
      <c r="BJ27" s="47">
        <f t="shared" si="19"/>
        <v>1.4285714285714287E-2</v>
      </c>
      <c r="BK27" s="47">
        <f t="shared" si="20"/>
        <v>0.11000000000000001</v>
      </c>
      <c r="BL27" s="48">
        <f t="shared" si="21"/>
        <v>113.92023809523808</v>
      </c>
      <c r="BM27" s="48">
        <f t="shared" si="22"/>
        <v>0.24705882352941178</v>
      </c>
      <c r="BN27" s="48">
        <f t="shared" si="23"/>
        <v>0.18181818181818182</v>
      </c>
      <c r="BO27" s="48">
        <f t="shared" si="24"/>
        <v>0.59090909090909094</v>
      </c>
      <c r="BP27" s="48">
        <v>23.192940476190476</v>
      </c>
      <c r="BQ27" s="48">
        <v>21.277927042376582</v>
      </c>
    </row>
    <row r="28" spans="1:69" x14ac:dyDescent="0.3">
      <c r="A28" s="13">
        <v>0</v>
      </c>
      <c r="B28" s="14">
        <v>2120000013</v>
      </c>
      <c r="C28" s="15" t="s">
        <v>129</v>
      </c>
      <c r="D28" s="16" t="s">
        <v>130</v>
      </c>
      <c r="E28" s="17">
        <v>136</v>
      </c>
      <c r="F28" s="18">
        <v>5.5</v>
      </c>
      <c r="G28" s="18">
        <v>0.7</v>
      </c>
      <c r="H28" s="18">
        <v>4</v>
      </c>
      <c r="I28" s="18">
        <v>0.3</v>
      </c>
      <c r="J28" s="18">
        <v>0.25</v>
      </c>
      <c r="K28" s="18">
        <v>0</v>
      </c>
      <c r="L28" s="18">
        <v>21.7</v>
      </c>
      <c r="M28" s="18">
        <v>0.2</v>
      </c>
      <c r="N28" s="18">
        <v>71.599999999999994</v>
      </c>
      <c r="O28" s="19">
        <v>64</v>
      </c>
      <c r="P28" s="19">
        <v>0</v>
      </c>
      <c r="Q28" s="18">
        <v>1.3</v>
      </c>
      <c r="R28" s="18">
        <v>2.1</v>
      </c>
      <c r="S28" s="18">
        <v>0.03</v>
      </c>
      <c r="T28" s="18">
        <v>0.04</v>
      </c>
      <c r="U28" s="18">
        <v>2.79</v>
      </c>
      <c r="V28" s="18">
        <v>6.49</v>
      </c>
      <c r="W28" s="19">
        <v>222</v>
      </c>
      <c r="X28" s="18">
        <v>0.17</v>
      </c>
      <c r="Y28" s="18">
        <v>3.74</v>
      </c>
      <c r="Z28" s="18">
        <v>14.3</v>
      </c>
      <c r="AA28" s="18">
        <v>1.36</v>
      </c>
      <c r="AB28" s="19">
        <v>96</v>
      </c>
      <c r="AC28" s="19">
        <v>410</v>
      </c>
      <c r="AD28" s="17">
        <v>23</v>
      </c>
      <c r="AE28" s="17">
        <v>180</v>
      </c>
      <c r="AF28" s="17">
        <v>33</v>
      </c>
      <c r="AG28" s="20">
        <v>0.4</v>
      </c>
      <c r="AH28" s="18">
        <v>0.4</v>
      </c>
      <c r="AI28" s="22">
        <v>0.217</v>
      </c>
      <c r="AJ28" s="23">
        <v>0.108</v>
      </c>
      <c r="AK28" s="24" t="s">
        <v>131</v>
      </c>
      <c r="AL28" s="25">
        <f t="shared" si="0"/>
        <v>49.5</v>
      </c>
      <c r="AM28" s="27">
        <f t="shared" si="25"/>
        <v>13.333333333333334</v>
      </c>
      <c r="AN28" s="27">
        <f t="shared" si="26"/>
        <v>2.3333333333333335</v>
      </c>
      <c r="AO28" s="27">
        <f>G28/H28</f>
        <v>0.17499999999999999</v>
      </c>
      <c r="AP28" s="27">
        <f>I28/G28</f>
        <v>0.4285714285714286</v>
      </c>
      <c r="AQ28" s="26">
        <f t="shared" si="1"/>
        <v>86.8</v>
      </c>
      <c r="AR28" s="28">
        <f t="shared" si="2"/>
        <v>0.63683052090975778</v>
      </c>
      <c r="AS28" s="29">
        <f t="shared" si="3"/>
        <v>0.32500000000000001</v>
      </c>
      <c r="AT28" s="30">
        <f t="shared" si="27"/>
        <v>1.3</v>
      </c>
      <c r="AU28" s="27">
        <f>AI28/AJ28</f>
        <v>2.0092592592592591</v>
      </c>
      <c r="AV28" s="31">
        <f t="shared" si="5"/>
        <v>0</v>
      </c>
      <c r="AW28" s="31">
        <f t="shared" si="6"/>
        <v>0.26</v>
      </c>
      <c r="AX28" s="31">
        <f t="shared" si="7"/>
        <v>0.17500000000000002</v>
      </c>
      <c r="AY28" s="31">
        <f t="shared" si="8"/>
        <v>2.7272727272727268E-2</v>
      </c>
      <c r="AZ28" s="31">
        <f t="shared" si="9"/>
        <v>2.8571428571428574E-2</v>
      </c>
      <c r="BA28" s="31">
        <f t="shared" si="10"/>
        <v>0.174375</v>
      </c>
      <c r="BB28" s="31">
        <f t="shared" si="11"/>
        <v>0.12142857142857144</v>
      </c>
      <c r="BC28" s="31">
        <f t="shared" si="12"/>
        <v>1.496</v>
      </c>
      <c r="BD28" s="31">
        <f t="shared" si="13"/>
        <v>7.1500000000000008E-2</v>
      </c>
      <c r="BE28" s="31">
        <f t="shared" si="14"/>
        <v>0.04</v>
      </c>
      <c r="BF28" s="31">
        <f t="shared" si="15"/>
        <v>0.20499999999999999</v>
      </c>
      <c r="BG28" s="31">
        <f t="shared" si="16"/>
        <v>2.8750000000000001E-2</v>
      </c>
      <c r="BH28" s="31">
        <f t="shared" si="17"/>
        <v>0.25714285714285712</v>
      </c>
      <c r="BI28" s="31">
        <f t="shared" si="18"/>
        <v>8.7999999999999995E-2</v>
      </c>
      <c r="BJ28" s="31">
        <f t="shared" si="19"/>
        <v>2.8571428571428574E-2</v>
      </c>
      <c r="BK28" s="31">
        <f t="shared" si="20"/>
        <v>0.04</v>
      </c>
      <c r="BL28" s="32">
        <f t="shared" si="21"/>
        <v>88.432142857142864</v>
      </c>
      <c r="BM28" s="32">
        <f t="shared" si="22"/>
        <v>0.23414634146341465</v>
      </c>
      <c r="BN28" s="32">
        <f t="shared" si="23"/>
        <v>1</v>
      </c>
      <c r="BO28" s="32">
        <f t="shared" si="24"/>
        <v>0.12777777777777777</v>
      </c>
      <c r="BP28" s="32">
        <v>3.2792380952380951</v>
      </c>
      <c r="BQ28" s="32">
        <v>2.411204481792717</v>
      </c>
    </row>
    <row r="29" spans="1:69" x14ac:dyDescent="0.3">
      <c r="A29" s="13">
        <v>0</v>
      </c>
      <c r="B29" s="14">
        <v>891</v>
      </c>
      <c r="C29" s="15" t="s">
        <v>132</v>
      </c>
      <c r="D29" s="16" t="s">
        <v>133</v>
      </c>
      <c r="E29" s="33">
        <v>90</v>
      </c>
      <c r="F29" s="34">
        <v>1.6</v>
      </c>
      <c r="G29" s="34">
        <v>0.3</v>
      </c>
      <c r="H29" s="34">
        <v>0.4</v>
      </c>
      <c r="I29" s="34">
        <v>0.4</v>
      </c>
      <c r="J29" s="34">
        <v>0</v>
      </c>
      <c r="K29" s="34">
        <v>0</v>
      </c>
      <c r="L29" s="34">
        <v>19</v>
      </c>
      <c r="M29" s="34">
        <v>0.3</v>
      </c>
      <c r="N29" s="34">
        <v>78.2</v>
      </c>
      <c r="O29" s="35">
        <v>85</v>
      </c>
      <c r="P29" s="35">
        <v>0</v>
      </c>
      <c r="Q29" s="34">
        <v>10</v>
      </c>
      <c r="R29" s="34">
        <v>0.35</v>
      </c>
      <c r="S29" s="34">
        <v>0.12</v>
      </c>
      <c r="T29" s="34">
        <v>0.05</v>
      </c>
      <c r="U29" s="34">
        <v>0.51</v>
      </c>
      <c r="V29" s="34">
        <v>4</v>
      </c>
      <c r="W29" s="35">
        <v>210</v>
      </c>
      <c r="X29" s="34">
        <v>0.13</v>
      </c>
      <c r="Y29" s="34">
        <v>1.5</v>
      </c>
      <c r="Z29" s="34">
        <v>8.5</v>
      </c>
      <c r="AA29" s="34">
        <v>1</v>
      </c>
      <c r="AB29" s="35">
        <v>110</v>
      </c>
      <c r="AC29" s="35">
        <v>230</v>
      </c>
      <c r="AD29" s="33">
        <v>54</v>
      </c>
      <c r="AE29" s="33">
        <v>170</v>
      </c>
      <c r="AF29" s="33">
        <v>29</v>
      </c>
      <c r="AG29" s="36">
        <v>0.4</v>
      </c>
      <c r="AH29" s="34">
        <v>0.6</v>
      </c>
      <c r="AI29" s="38">
        <v>0.1</v>
      </c>
      <c r="AJ29" s="39">
        <v>0.09</v>
      </c>
      <c r="AK29" s="40" t="s">
        <v>75</v>
      </c>
      <c r="AL29" s="41">
        <f t="shared" si="0"/>
        <v>14.4</v>
      </c>
      <c r="AM29" s="42">
        <f t="shared" si="25"/>
        <v>1</v>
      </c>
      <c r="AN29" s="42">
        <f t="shared" si="26"/>
        <v>0.74999999999999989</v>
      </c>
      <c r="AO29" s="42">
        <f>G29/H29</f>
        <v>0.74999999999999989</v>
      </c>
      <c r="AP29" s="42">
        <f>I29/G29</f>
        <v>1.3333333333333335</v>
      </c>
      <c r="AQ29" s="43">
        <f t="shared" si="1"/>
        <v>76</v>
      </c>
      <c r="AR29" s="44">
        <f t="shared" si="2"/>
        <v>0.84070796460176989</v>
      </c>
      <c r="AS29" s="45">
        <f t="shared" si="3"/>
        <v>0.19</v>
      </c>
      <c r="AT29" s="46">
        <f t="shared" si="27"/>
        <v>0.76</v>
      </c>
      <c r="AU29" s="42">
        <f>AI29/AJ29</f>
        <v>1.1111111111111112</v>
      </c>
      <c r="AV29" s="47">
        <f t="shared" si="5"/>
        <v>0</v>
      </c>
      <c r="AW29" s="47">
        <f t="shared" si="6"/>
        <v>2</v>
      </c>
      <c r="AX29" s="47">
        <f t="shared" si="7"/>
        <v>2.9166666666666664E-2</v>
      </c>
      <c r="AY29" s="47">
        <f t="shared" si="8"/>
        <v>0.10909090909090907</v>
      </c>
      <c r="AZ29" s="47">
        <f t="shared" si="9"/>
        <v>3.5714285714285719E-2</v>
      </c>
      <c r="BA29" s="47">
        <f t="shared" si="10"/>
        <v>3.1875000000000001E-2</v>
      </c>
      <c r="BB29" s="47">
        <f t="shared" si="11"/>
        <v>9.285714285714286E-2</v>
      </c>
      <c r="BC29" s="47">
        <f t="shared" si="12"/>
        <v>0.6</v>
      </c>
      <c r="BD29" s="47">
        <f t="shared" si="13"/>
        <v>4.2500000000000003E-2</v>
      </c>
      <c r="BE29" s="47">
        <f t="shared" si="14"/>
        <v>4.583333333333333E-2</v>
      </c>
      <c r="BF29" s="47">
        <f t="shared" si="15"/>
        <v>0.115</v>
      </c>
      <c r="BG29" s="47">
        <f t="shared" si="16"/>
        <v>6.7500000000000004E-2</v>
      </c>
      <c r="BH29" s="47">
        <f t="shared" si="17"/>
        <v>0.24285714285714285</v>
      </c>
      <c r="BI29" s="47">
        <f t="shared" si="18"/>
        <v>7.7333333333333337E-2</v>
      </c>
      <c r="BJ29" s="47">
        <f t="shared" si="19"/>
        <v>2.8571428571428574E-2</v>
      </c>
      <c r="BK29" s="47">
        <f t="shared" si="20"/>
        <v>0.06</v>
      </c>
      <c r="BL29" s="48">
        <f t="shared" si="21"/>
        <v>63.673809523809531</v>
      </c>
      <c r="BM29" s="48">
        <f t="shared" si="22"/>
        <v>0.47826086956521741</v>
      </c>
      <c r="BN29" s="48">
        <f t="shared" si="23"/>
        <v>0.66666666666666674</v>
      </c>
      <c r="BO29" s="48">
        <f t="shared" si="24"/>
        <v>0.31764705882352939</v>
      </c>
      <c r="BP29" s="48">
        <v>3.4253095238095237</v>
      </c>
      <c r="BQ29" s="48">
        <v>3.8058994708994711</v>
      </c>
    </row>
    <row r="30" spans="1:69" x14ac:dyDescent="0.3">
      <c r="A30" s="13">
        <v>0</v>
      </c>
      <c r="B30" s="14">
        <v>893</v>
      </c>
      <c r="C30" s="15" t="s">
        <v>134</v>
      </c>
      <c r="D30" s="16" t="s">
        <v>135</v>
      </c>
      <c r="E30" s="17">
        <v>73</v>
      </c>
      <c r="F30" s="18">
        <v>0.2</v>
      </c>
      <c r="G30" s="18">
        <v>0</v>
      </c>
      <c r="H30" s="18">
        <v>0</v>
      </c>
      <c r="I30" s="18">
        <v>0.1</v>
      </c>
      <c r="J30" s="18">
        <v>0</v>
      </c>
      <c r="K30" s="18">
        <v>0</v>
      </c>
      <c r="L30" s="18">
        <v>17.899999999999999</v>
      </c>
      <c r="M30" s="18">
        <v>0.2</v>
      </c>
      <c r="N30" s="18">
        <v>80.400000000000006</v>
      </c>
      <c r="O30" s="19">
        <v>42</v>
      </c>
      <c r="P30" s="19">
        <v>24</v>
      </c>
      <c r="Q30" s="18">
        <v>0</v>
      </c>
      <c r="R30" s="18">
        <v>0.23</v>
      </c>
      <c r="S30" s="18">
        <v>0.04</v>
      </c>
      <c r="T30" s="18">
        <v>0.02</v>
      </c>
      <c r="U30" s="18">
        <v>2</v>
      </c>
      <c r="V30" s="18">
        <v>5.3</v>
      </c>
      <c r="W30" s="19">
        <v>198</v>
      </c>
      <c r="X30" s="18">
        <v>0.05</v>
      </c>
      <c r="Y30" s="18">
        <v>0.26</v>
      </c>
      <c r="Z30" s="18">
        <v>7.3</v>
      </c>
      <c r="AA30" s="18">
        <v>1.1000000000000001</v>
      </c>
      <c r="AB30" s="19">
        <v>86</v>
      </c>
      <c r="AC30" s="19">
        <v>330</v>
      </c>
      <c r="AD30" s="17">
        <v>7</v>
      </c>
      <c r="AE30" s="17">
        <v>210</v>
      </c>
      <c r="AF30" s="17">
        <v>27</v>
      </c>
      <c r="AG30" s="20">
        <v>0.2</v>
      </c>
      <c r="AH30" s="18">
        <v>0.5</v>
      </c>
      <c r="AI30" s="22">
        <v>0</v>
      </c>
      <c r="AJ30" s="23">
        <v>0</v>
      </c>
      <c r="AK30" s="49" t="s">
        <v>78</v>
      </c>
      <c r="AL30" s="25">
        <f t="shared" si="0"/>
        <v>1.8</v>
      </c>
      <c r="AM30" s="27">
        <f t="shared" si="25"/>
        <v>0</v>
      </c>
      <c r="AN30" s="27">
        <f t="shared" si="26"/>
        <v>0</v>
      </c>
      <c r="AO30" s="27">
        <v>0</v>
      </c>
      <c r="AP30" s="27">
        <v>0</v>
      </c>
      <c r="AQ30" s="26">
        <f t="shared" si="1"/>
        <v>71.599999999999994</v>
      </c>
      <c r="AR30" s="28">
        <f t="shared" si="2"/>
        <v>0.9754768392370573</v>
      </c>
      <c r="AS30" s="29">
        <f t="shared" si="3"/>
        <v>0</v>
      </c>
      <c r="AT30" s="30">
        <f t="shared" si="27"/>
        <v>0</v>
      </c>
      <c r="AU30" s="27">
        <v>0</v>
      </c>
      <c r="AV30" s="31">
        <f t="shared" si="5"/>
        <v>0.03</v>
      </c>
      <c r="AW30" s="31">
        <f t="shared" si="6"/>
        <v>0</v>
      </c>
      <c r="AX30" s="31">
        <f t="shared" si="7"/>
        <v>1.9166666666666669E-2</v>
      </c>
      <c r="AY30" s="31">
        <f t="shared" si="8"/>
        <v>3.6363636363636362E-2</v>
      </c>
      <c r="AZ30" s="31">
        <f t="shared" si="9"/>
        <v>1.4285714285714287E-2</v>
      </c>
      <c r="BA30" s="31">
        <f t="shared" si="10"/>
        <v>0.125</v>
      </c>
      <c r="BB30" s="31">
        <f t="shared" si="11"/>
        <v>3.5714285714285719E-2</v>
      </c>
      <c r="BC30" s="31">
        <f t="shared" si="12"/>
        <v>0.10400000000000001</v>
      </c>
      <c r="BD30" s="31">
        <f t="shared" si="13"/>
        <v>3.6499999999999998E-2</v>
      </c>
      <c r="BE30" s="31">
        <f t="shared" si="14"/>
        <v>3.5833333333333335E-2</v>
      </c>
      <c r="BF30" s="31">
        <f t="shared" si="15"/>
        <v>0.16500000000000001</v>
      </c>
      <c r="BG30" s="31">
        <f t="shared" si="16"/>
        <v>8.7500000000000008E-3</v>
      </c>
      <c r="BH30" s="31">
        <f t="shared" si="17"/>
        <v>0.3</v>
      </c>
      <c r="BI30" s="31">
        <f t="shared" si="18"/>
        <v>7.1999999999999995E-2</v>
      </c>
      <c r="BJ30" s="31">
        <f t="shared" si="19"/>
        <v>1.4285714285714287E-2</v>
      </c>
      <c r="BK30" s="31">
        <f t="shared" si="20"/>
        <v>0.05</v>
      </c>
      <c r="BL30" s="32">
        <f t="shared" si="21"/>
        <v>63.136904761904752</v>
      </c>
      <c r="BM30" s="32">
        <f t="shared" si="22"/>
        <v>0.26060606060606062</v>
      </c>
      <c r="BN30" s="32">
        <f t="shared" si="23"/>
        <v>0.4</v>
      </c>
      <c r="BO30" s="32">
        <f t="shared" si="24"/>
        <v>3.3333333333333333E-2</v>
      </c>
      <c r="BP30" s="32">
        <v>0.30945238095238098</v>
      </c>
      <c r="BQ30" s="32">
        <v>0.42390737116764515</v>
      </c>
    </row>
    <row r="31" spans="1:69" x14ac:dyDescent="0.3">
      <c r="A31" s="51">
        <v>0</v>
      </c>
      <c r="B31" s="52">
        <v>905</v>
      </c>
      <c r="C31" s="53" t="s">
        <v>136</v>
      </c>
      <c r="D31" s="54" t="s">
        <v>137</v>
      </c>
      <c r="E31" s="55">
        <v>92</v>
      </c>
      <c r="F31" s="56">
        <v>2.2999999999999998</v>
      </c>
      <c r="G31" s="56">
        <v>0.5</v>
      </c>
      <c r="H31" s="56">
        <v>0.5</v>
      </c>
      <c r="I31" s="56">
        <v>0.9</v>
      </c>
      <c r="J31" s="56">
        <v>0.2</v>
      </c>
      <c r="K31" s="56">
        <v>0</v>
      </c>
      <c r="L31" s="56">
        <v>17.8</v>
      </c>
      <c r="M31" s="56">
        <v>0.1</v>
      </c>
      <c r="N31" s="56">
        <v>78</v>
      </c>
      <c r="O31" s="57">
        <v>38</v>
      </c>
      <c r="P31" s="57">
        <v>9</v>
      </c>
      <c r="Q31" s="56">
        <v>19</v>
      </c>
      <c r="R31" s="56">
        <v>0.13</v>
      </c>
      <c r="S31" s="56">
        <v>0.09</v>
      </c>
      <c r="T31" s="56">
        <v>0.04</v>
      </c>
      <c r="U31" s="56">
        <v>4</v>
      </c>
      <c r="V31" s="56">
        <v>7.3</v>
      </c>
      <c r="W31" s="57">
        <v>198</v>
      </c>
      <c r="X31" s="56">
        <v>0.28000000000000003</v>
      </c>
      <c r="Y31" s="56">
        <v>1.9</v>
      </c>
      <c r="Z31" s="56">
        <v>8.1999999999999993</v>
      </c>
      <c r="AA31" s="56">
        <v>1.3</v>
      </c>
      <c r="AB31" s="57">
        <v>41</v>
      </c>
      <c r="AC31" s="57">
        <v>400</v>
      </c>
      <c r="AD31" s="55">
        <v>20</v>
      </c>
      <c r="AE31" s="55">
        <v>250</v>
      </c>
      <c r="AF31" s="55">
        <v>24</v>
      </c>
      <c r="AG31" s="58">
        <v>0.2</v>
      </c>
      <c r="AH31" s="56">
        <v>0.6</v>
      </c>
      <c r="AI31" s="60">
        <v>0.6</v>
      </c>
      <c r="AJ31" s="61">
        <v>1.8</v>
      </c>
      <c r="AK31" s="241" t="s">
        <v>78</v>
      </c>
      <c r="AL31" s="63">
        <f t="shared" si="0"/>
        <v>20.7</v>
      </c>
      <c r="AM31" s="42">
        <f t="shared" si="25"/>
        <v>0.55555555555555558</v>
      </c>
      <c r="AN31" s="42">
        <f t="shared" si="26"/>
        <v>0.55555555555555558</v>
      </c>
      <c r="AO31" s="42">
        <f t="shared" ref="AO31:AO41" si="33">G31/H31</f>
        <v>1</v>
      </c>
      <c r="AP31" s="42">
        <f t="shared" ref="AP31:AP41" si="34">I31/G31</f>
        <v>1.8</v>
      </c>
      <c r="AQ31" s="64">
        <f t="shared" si="1"/>
        <v>71.2</v>
      </c>
      <c r="AR31" s="65">
        <f t="shared" si="2"/>
        <v>0.77475516866158867</v>
      </c>
      <c r="AS31" s="66">
        <f t="shared" si="3"/>
        <v>2.4</v>
      </c>
      <c r="AT31" s="67">
        <f t="shared" si="27"/>
        <v>9.6</v>
      </c>
      <c r="AU31" s="68">
        <f t="shared" ref="AU31:AU41" si="35">AI31/AJ31</f>
        <v>0.33333333333333331</v>
      </c>
      <c r="AV31" s="69">
        <f t="shared" si="5"/>
        <v>1.125E-2</v>
      </c>
      <c r="AW31" s="69">
        <f t="shared" si="6"/>
        <v>3.8</v>
      </c>
      <c r="AX31" s="69">
        <f t="shared" si="7"/>
        <v>1.0833333333333334E-2</v>
      </c>
      <c r="AY31" s="69">
        <f t="shared" si="8"/>
        <v>8.1818181818181804E-2</v>
      </c>
      <c r="AZ31" s="69">
        <f t="shared" si="9"/>
        <v>2.8571428571428574E-2</v>
      </c>
      <c r="BA31" s="69">
        <f t="shared" si="10"/>
        <v>0.25</v>
      </c>
      <c r="BB31" s="69">
        <f t="shared" si="11"/>
        <v>0.20000000000000004</v>
      </c>
      <c r="BC31" s="69">
        <f t="shared" si="12"/>
        <v>0.76</v>
      </c>
      <c r="BD31" s="69">
        <f t="shared" si="13"/>
        <v>4.0999999999999995E-2</v>
      </c>
      <c r="BE31" s="69">
        <f t="shared" si="14"/>
        <v>1.7083333333333332E-2</v>
      </c>
      <c r="BF31" s="69">
        <f t="shared" si="15"/>
        <v>0.2</v>
      </c>
      <c r="BG31" s="69">
        <f t="shared" si="16"/>
        <v>2.5000000000000001E-2</v>
      </c>
      <c r="BH31" s="69">
        <f t="shared" si="17"/>
        <v>0.35714285714285715</v>
      </c>
      <c r="BI31" s="69">
        <f t="shared" si="18"/>
        <v>6.4000000000000001E-2</v>
      </c>
      <c r="BJ31" s="69">
        <f t="shared" si="19"/>
        <v>1.4285714285714287E-2</v>
      </c>
      <c r="BK31" s="69">
        <f t="shared" si="20"/>
        <v>0.06</v>
      </c>
      <c r="BL31" s="70">
        <f t="shared" si="21"/>
        <v>63.928571428571438</v>
      </c>
      <c r="BM31" s="70">
        <f t="shared" si="22"/>
        <v>0.10249999999999999</v>
      </c>
      <c r="BN31" s="70">
        <f t="shared" si="23"/>
        <v>0.33333333333333337</v>
      </c>
      <c r="BO31" s="70">
        <f t="shared" si="24"/>
        <v>0.08</v>
      </c>
      <c r="BP31" s="70">
        <v>14.569357142857141</v>
      </c>
      <c r="BQ31" s="70">
        <v>15.836257763975153</v>
      </c>
    </row>
    <row r="32" spans="1:69" x14ac:dyDescent="0.3">
      <c r="A32" s="71">
        <v>1</v>
      </c>
      <c r="B32" s="72">
        <v>831</v>
      </c>
      <c r="C32" s="73" t="s">
        <v>138</v>
      </c>
      <c r="D32" s="74" t="s">
        <v>139</v>
      </c>
      <c r="E32" s="75">
        <v>303</v>
      </c>
      <c r="F32" s="76">
        <v>27.7</v>
      </c>
      <c r="G32" s="76">
        <v>8.6</v>
      </c>
      <c r="H32" s="76">
        <v>2.4</v>
      </c>
      <c r="I32" s="76">
        <v>9.4</v>
      </c>
      <c r="J32" s="76">
        <v>0.1</v>
      </c>
      <c r="K32" s="76">
        <v>0</v>
      </c>
      <c r="L32" s="76">
        <v>13.4</v>
      </c>
      <c r="M32" s="76">
        <v>0.2</v>
      </c>
      <c r="N32" s="76">
        <v>57.4</v>
      </c>
      <c r="O32" s="77">
        <v>26</v>
      </c>
      <c r="P32" s="77">
        <v>887</v>
      </c>
      <c r="Q32" s="76">
        <v>16</v>
      </c>
      <c r="R32" s="76">
        <v>2.4</v>
      </c>
      <c r="S32" s="76">
        <v>0.28000000000000003</v>
      </c>
      <c r="T32" s="76">
        <v>0.26</v>
      </c>
      <c r="U32" s="76">
        <v>1.3</v>
      </c>
      <c r="V32" s="76">
        <v>3.8</v>
      </c>
      <c r="W32" s="77">
        <v>150</v>
      </c>
      <c r="X32" s="76">
        <v>0.15</v>
      </c>
      <c r="Y32" s="76">
        <v>1.9</v>
      </c>
      <c r="Z32" s="76">
        <v>9.3000000000000007</v>
      </c>
      <c r="AA32" s="76">
        <v>1.2</v>
      </c>
      <c r="AB32" s="77">
        <v>77</v>
      </c>
      <c r="AC32" s="77">
        <v>180</v>
      </c>
      <c r="AD32" s="75">
        <v>140</v>
      </c>
      <c r="AE32" s="75">
        <v>250</v>
      </c>
      <c r="AF32" s="75">
        <v>16</v>
      </c>
      <c r="AG32" s="78">
        <v>0.5</v>
      </c>
      <c r="AH32" s="76">
        <v>2.5</v>
      </c>
      <c r="AI32" s="80">
        <v>2.2000000000000002</v>
      </c>
      <c r="AJ32" s="81">
        <v>3.5</v>
      </c>
      <c r="AK32" s="242" t="s">
        <v>78</v>
      </c>
      <c r="AL32" s="83">
        <f t="shared" si="0"/>
        <v>249.29999999999998</v>
      </c>
      <c r="AM32" s="84">
        <f t="shared" si="25"/>
        <v>0.25531914893617019</v>
      </c>
      <c r="AN32" s="84">
        <f t="shared" si="26"/>
        <v>0.91489361702127647</v>
      </c>
      <c r="AO32" s="84">
        <f t="shared" si="33"/>
        <v>3.5833333333333335</v>
      </c>
      <c r="AP32" s="84">
        <f t="shared" si="34"/>
        <v>1.0930232558139537</v>
      </c>
      <c r="AQ32" s="85">
        <f t="shared" si="1"/>
        <v>53.6</v>
      </c>
      <c r="AR32" s="86">
        <f t="shared" si="2"/>
        <v>0.17695609111918126</v>
      </c>
      <c r="AS32" s="87">
        <f t="shared" si="3"/>
        <v>5.7</v>
      </c>
      <c r="AT32" s="88">
        <f t="shared" si="27"/>
        <v>22.8</v>
      </c>
      <c r="AU32" s="89">
        <f t="shared" si="35"/>
        <v>0.62857142857142867</v>
      </c>
      <c r="AV32" s="90">
        <f t="shared" si="5"/>
        <v>1.1087499999999999</v>
      </c>
      <c r="AW32" s="90">
        <f t="shared" si="6"/>
        <v>3.2</v>
      </c>
      <c r="AX32" s="90">
        <f t="shared" si="7"/>
        <v>0.19999999999999998</v>
      </c>
      <c r="AY32" s="90">
        <f t="shared" si="8"/>
        <v>0.25454545454545457</v>
      </c>
      <c r="AZ32" s="90">
        <f t="shared" si="9"/>
        <v>0.18571428571428572</v>
      </c>
      <c r="BA32" s="90">
        <f t="shared" si="10"/>
        <v>8.1250000000000003E-2</v>
      </c>
      <c r="BB32" s="90">
        <f t="shared" si="11"/>
        <v>0.10714285714285715</v>
      </c>
      <c r="BC32" s="90">
        <f t="shared" si="12"/>
        <v>0.76</v>
      </c>
      <c r="BD32" s="90">
        <f t="shared" si="13"/>
        <v>4.6500000000000007E-2</v>
      </c>
      <c r="BE32" s="90">
        <f t="shared" si="14"/>
        <v>3.2083333333333332E-2</v>
      </c>
      <c r="BF32" s="90">
        <f t="shared" si="15"/>
        <v>0.09</v>
      </c>
      <c r="BG32" s="90">
        <f t="shared" si="16"/>
        <v>0.17499999999999999</v>
      </c>
      <c r="BH32" s="90">
        <f t="shared" si="17"/>
        <v>0.35714285714285715</v>
      </c>
      <c r="BI32" s="90">
        <f t="shared" si="18"/>
        <v>4.2666666666666665E-2</v>
      </c>
      <c r="BJ32" s="90">
        <f t="shared" si="19"/>
        <v>3.5714285714285712E-2</v>
      </c>
      <c r="BK32" s="90">
        <f t="shared" si="20"/>
        <v>0.25</v>
      </c>
      <c r="BL32" s="91">
        <f t="shared" si="21"/>
        <v>145.8047619047619</v>
      </c>
      <c r="BM32" s="91">
        <f t="shared" si="22"/>
        <v>0.42777777777777776</v>
      </c>
      <c r="BN32" s="91">
        <f t="shared" si="23"/>
        <v>0.2</v>
      </c>
      <c r="BO32" s="91">
        <f t="shared" si="24"/>
        <v>0.56000000000000005</v>
      </c>
      <c r="BP32" s="91">
        <v>28.031238095238098</v>
      </c>
      <c r="BQ32" s="91">
        <v>9.2512336947980529</v>
      </c>
    </row>
    <row r="33" spans="1:69" x14ac:dyDescent="0.3">
      <c r="A33" s="92">
        <v>1</v>
      </c>
      <c r="B33" s="93">
        <v>1900000101</v>
      </c>
      <c r="C33" s="94" t="s">
        <v>140</v>
      </c>
      <c r="D33" s="95" t="s">
        <v>141</v>
      </c>
      <c r="E33" s="96">
        <v>314</v>
      </c>
      <c r="F33" s="97">
        <v>27.4</v>
      </c>
      <c r="G33" s="97">
        <v>5.8</v>
      </c>
      <c r="H33" s="97">
        <v>11.8</v>
      </c>
      <c r="I33" s="97">
        <v>6</v>
      </c>
      <c r="J33" s="97">
        <v>0.6</v>
      </c>
      <c r="K33" s="97">
        <v>0</v>
      </c>
      <c r="L33" s="97">
        <v>16.7</v>
      </c>
      <c r="M33" s="97">
        <v>0.9</v>
      </c>
      <c r="N33" s="97">
        <v>54.3</v>
      </c>
      <c r="O33" s="98">
        <v>108</v>
      </c>
      <c r="P33" s="98">
        <v>5350</v>
      </c>
      <c r="Q33" s="97">
        <v>14.3</v>
      </c>
      <c r="R33" s="97">
        <v>5.9</v>
      </c>
      <c r="S33" s="97">
        <v>0.2</v>
      </c>
      <c r="T33" s="97">
        <v>0.6</v>
      </c>
      <c r="U33" s="97">
        <v>3</v>
      </c>
      <c r="V33" s="97">
        <v>5.5</v>
      </c>
      <c r="W33" s="98">
        <v>150</v>
      </c>
      <c r="X33" s="97">
        <v>0.19</v>
      </c>
      <c r="Y33" s="97">
        <v>2.95</v>
      </c>
      <c r="Z33" s="97">
        <v>16.5</v>
      </c>
      <c r="AA33" s="97">
        <v>1.55</v>
      </c>
      <c r="AB33" s="98">
        <v>350</v>
      </c>
      <c r="AC33" s="98">
        <v>180</v>
      </c>
      <c r="AD33" s="96">
        <v>7.5</v>
      </c>
      <c r="AE33" s="96">
        <v>190</v>
      </c>
      <c r="AF33" s="96">
        <v>15</v>
      </c>
      <c r="AG33" s="99">
        <v>4.0999999999999996</v>
      </c>
      <c r="AH33" s="97">
        <v>2.2000000000000002</v>
      </c>
      <c r="AI33" s="101">
        <f>18.2*0.0157</f>
        <v>0.28573999999999994</v>
      </c>
      <c r="AJ33" s="102">
        <f>18.2*0.02843</f>
        <v>0.51742599999999994</v>
      </c>
      <c r="AK33" s="243" t="s">
        <v>142</v>
      </c>
      <c r="AL33" s="104">
        <f t="shared" si="0"/>
        <v>246.6</v>
      </c>
      <c r="AM33" s="105">
        <f t="shared" si="25"/>
        <v>1.9666666666666668</v>
      </c>
      <c r="AN33" s="105">
        <f t="shared" si="26"/>
        <v>0.96666666666666667</v>
      </c>
      <c r="AO33" s="105">
        <f t="shared" si="33"/>
        <v>0.49152542372881353</v>
      </c>
      <c r="AP33" s="105">
        <f t="shared" si="34"/>
        <v>1.0344827586206897</v>
      </c>
      <c r="AQ33" s="106">
        <f t="shared" si="1"/>
        <v>66.8</v>
      </c>
      <c r="AR33" s="107">
        <f t="shared" si="2"/>
        <v>0.21314613911933633</v>
      </c>
      <c r="AS33" s="108">
        <f t="shared" si="3"/>
        <v>0.80316599999999982</v>
      </c>
      <c r="AT33" s="109">
        <f t="shared" si="27"/>
        <v>3.2126639999999993</v>
      </c>
      <c r="AU33" s="110">
        <f t="shared" si="35"/>
        <v>0.5522335561027083</v>
      </c>
      <c r="AV33" s="111">
        <f t="shared" si="5"/>
        <v>6.6875</v>
      </c>
      <c r="AW33" s="111">
        <f t="shared" si="6"/>
        <v>2.8600000000000003</v>
      </c>
      <c r="AX33" s="111">
        <f t="shared" si="7"/>
        <v>0.4916666666666667</v>
      </c>
      <c r="AY33" s="111">
        <f t="shared" si="8"/>
        <v>0.18181818181818182</v>
      </c>
      <c r="AZ33" s="111">
        <f t="shared" si="9"/>
        <v>0.4285714285714286</v>
      </c>
      <c r="BA33" s="111">
        <f t="shared" si="10"/>
        <v>0.1875</v>
      </c>
      <c r="BB33" s="111">
        <f t="shared" si="11"/>
        <v>0.13571428571428573</v>
      </c>
      <c r="BC33" s="111">
        <f t="shared" si="12"/>
        <v>1.1800000000000002</v>
      </c>
      <c r="BD33" s="111">
        <f t="shared" si="13"/>
        <v>8.2500000000000004E-2</v>
      </c>
      <c r="BE33" s="111">
        <f t="shared" si="14"/>
        <v>0.14583333333333334</v>
      </c>
      <c r="BF33" s="111">
        <f t="shared" si="15"/>
        <v>0.09</v>
      </c>
      <c r="BG33" s="111">
        <f t="shared" si="16"/>
        <v>9.3749999999999997E-3</v>
      </c>
      <c r="BH33" s="111">
        <f t="shared" si="17"/>
        <v>0.27142857142857141</v>
      </c>
      <c r="BI33" s="111">
        <f t="shared" si="18"/>
        <v>0.04</v>
      </c>
      <c r="BJ33" s="111">
        <f t="shared" si="19"/>
        <v>0.29285714285714282</v>
      </c>
      <c r="BK33" s="111">
        <f t="shared" si="20"/>
        <v>0.22000000000000003</v>
      </c>
      <c r="BL33" s="112">
        <f t="shared" si="21"/>
        <v>750.95654761904768</v>
      </c>
      <c r="BM33" s="112">
        <f t="shared" si="22"/>
        <v>1.9444444444444444</v>
      </c>
      <c r="BN33" s="112">
        <f t="shared" si="23"/>
        <v>1.8636363636363633</v>
      </c>
      <c r="BO33" s="112">
        <f t="shared" si="24"/>
        <v>3.9473684210526314E-2</v>
      </c>
      <c r="BP33" s="112">
        <v>14.351473523809524</v>
      </c>
      <c r="BQ33" s="112">
        <v>4.5705329693660905</v>
      </c>
    </row>
    <row r="34" spans="1:69" x14ac:dyDescent="0.3">
      <c r="A34" s="113">
        <v>2</v>
      </c>
      <c r="B34" s="114">
        <v>811</v>
      </c>
      <c r="C34" s="115" t="s">
        <v>143</v>
      </c>
      <c r="D34" s="116" t="s">
        <v>144</v>
      </c>
      <c r="E34" s="117">
        <v>141</v>
      </c>
      <c r="F34" s="118">
        <v>4.9000000000000004</v>
      </c>
      <c r="G34" s="118">
        <v>1.7</v>
      </c>
      <c r="H34" s="118">
        <v>1.7</v>
      </c>
      <c r="I34" s="118">
        <v>0.8</v>
      </c>
      <c r="J34" s="118">
        <v>0.1</v>
      </c>
      <c r="K34" s="118">
        <v>0</v>
      </c>
      <c r="L34" s="118">
        <v>24.1</v>
      </c>
      <c r="M34" s="118">
        <v>0.1</v>
      </c>
      <c r="N34" s="118">
        <v>68.7</v>
      </c>
      <c r="O34" s="119">
        <v>30</v>
      </c>
      <c r="P34" s="119">
        <v>11</v>
      </c>
      <c r="Q34" s="118">
        <v>4.2</v>
      </c>
      <c r="R34" s="118">
        <v>0.64</v>
      </c>
      <c r="S34" s="118">
        <v>0.1</v>
      </c>
      <c r="T34" s="118">
        <v>0.05</v>
      </c>
      <c r="U34" s="118">
        <v>10</v>
      </c>
      <c r="V34" s="118">
        <v>15</v>
      </c>
      <c r="W34" s="119">
        <v>276</v>
      </c>
      <c r="X34" s="118">
        <v>0.56000000000000005</v>
      </c>
      <c r="Y34" s="118">
        <v>2.4</v>
      </c>
      <c r="Z34" s="118">
        <v>8.3000000000000007</v>
      </c>
      <c r="AA34" s="118">
        <v>1.5</v>
      </c>
      <c r="AB34" s="119">
        <v>45</v>
      </c>
      <c r="AC34" s="119">
        <v>360</v>
      </c>
      <c r="AD34" s="117">
        <v>4</v>
      </c>
      <c r="AE34" s="117">
        <v>260</v>
      </c>
      <c r="AF34" s="117">
        <v>37</v>
      </c>
      <c r="AG34" s="120">
        <v>2.2000000000000002</v>
      </c>
      <c r="AH34" s="118">
        <v>1.5</v>
      </c>
      <c r="AI34" s="122">
        <v>0.28299999999999997</v>
      </c>
      <c r="AJ34" s="123">
        <v>0.89</v>
      </c>
      <c r="AK34" s="124" t="s">
        <v>145</v>
      </c>
      <c r="AL34" s="125">
        <f t="shared" si="0"/>
        <v>44.1</v>
      </c>
      <c r="AM34" s="126">
        <f t="shared" si="25"/>
        <v>2.125</v>
      </c>
      <c r="AN34" s="126">
        <f t="shared" si="26"/>
        <v>2.125</v>
      </c>
      <c r="AO34" s="126">
        <f t="shared" si="33"/>
        <v>1</v>
      </c>
      <c r="AP34" s="126">
        <f t="shared" si="34"/>
        <v>0.4705882352941177</v>
      </c>
      <c r="AQ34" s="127">
        <f t="shared" si="1"/>
        <v>96.4</v>
      </c>
      <c r="AR34" s="128">
        <f t="shared" si="2"/>
        <v>0.68612099644128122</v>
      </c>
      <c r="AS34" s="129">
        <f t="shared" si="3"/>
        <v>1.173</v>
      </c>
      <c r="AT34" s="130">
        <f t="shared" si="27"/>
        <v>4.6920000000000002</v>
      </c>
      <c r="AU34" s="131">
        <f t="shared" si="35"/>
        <v>0.31797752808988761</v>
      </c>
      <c r="AV34" s="132">
        <f t="shared" si="5"/>
        <v>1.375E-2</v>
      </c>
      <c r="AW34" s="132">
        <f t="shared" si="6"/>
        <v>0.84000000000000008</v>
      </c>
      <c r="AX34" s="132">
        <f t="shared" si="7"/>
        <v>5.3333333333333337E-2</v>
      </c>
      <c r="AY34" s="132">
        <f t="shared" si="8"/>
        <v>9.0909090909090912E-2</v>
      </c>
      <c r="AZ34" s="132">
        <f t="shared" si="9"/>
        <v>3.5714285714285719E-2</v>
      </c>
      <c r="BA34" s="132">
        <f t="shared" si="10"/>
        <v>0.625</v>
      </c>
      <c r="BB34" s="132">
        <f t="shared" si="11"/>
        <v>0.40000000000000008</v>
      </c>
      <c r="BC34" s="132">
        <f t="shared" si="12"/>
        <v>0.96</v>
      </c>
      <c r="BD34" s="132">
        <f t="shared" si="13"/>
        <v>4.1500000000000002E-2</v>
      </c>
      <c r="BE34" s="132">
        <f t="shared" si="14"/>
        <v>1.8749999999999999E-2</v>
      </c>
      <c r="BF34" s="132">
        <f t="shared" si="15"/>
        <v>0.18</v>
      </c>
      <c r="BG34" s="132">
        <f t="shared" si="16"/>
        <v>5.0000000000000001E-3</v>
      </c>
      <c r="BH34" s="132">
        <f t="shared" si="17"/>
        <v>0.37142857142857144</v>
      </c>
      <c r="BI34" s="132">
        <f t="shared" si="18"/>
        <v>9.8666666666666666E-2</v>
      </c>
      <c r="BJ34" s="132">
        <f t="shared" si="19"/>
        <v>0.15714285714285717</v>
      </c>
      <c r="BK34" s="132">
        <f t="shared" si="20"/>
        <v>0.15</v>
      </c>
      <c r="BL34" s="133">
        <f t="shared" si="21"/>
        <v>88.614285714285714</v>
      </c>
      <c r="BM34" s="133">
        <f t="shared" si="22"/>
        <v>0.125</v>
      </c>
      <c r="BN34" s="133">
        <f t="shared" si="23"/>
        <v>1.4666666666666668</v>
      </c>
      <c r="BO34" s="133">
        <f t="shared" si="24"/>
        <v>1.5384615384615385E-2</v>
      </c>
      <c r="BP34" s="133">
        <v>7.3235238095238095</v>
      </c>
      <c r="BQ34" s="133">
        <v>5.1939885173927722</v>
      </c>
    </row>
    <row r="35" spans="1:69" x14ac:dyDescent="0.3">
      <c r="A35" s="113">
        <v>2</v>
      </c>
      <c r="B35" s="114">
        <v>817</v>
      </c>
      <c r="C35" s="115" t="s">
        <v>146</v>
      </c>
      <c r="D35" s="134" t="s">
        <v>147</v>
      </c>
      <c r="E35" s="135">
        <v>105</v>
      </c>
      <c r="F35" s="136">
        <v>2.9</v>
      </c>
      <c r="G35" s="136">
        <v>0.7</v>
      </c>
      <c r="H35" s="136">
        <v>0.8</v>
      </c>
      <c r="I35" s="136">
        <v>0.9</v>
      </c>
      <c r="J35" s="136">
        <v>0</v>
      </c>
      <c r="K35" s="136">
        <v>0</v>
      </c>
      <c r="L35" s="136">
        <v>19.7</v>
      </c>
      <c r="M35" s="136">
        <v>0.2</v>
      </c>
      <c r="N35" s="136">
        <v>75.599999999999994</v>
      </c>
      <c r="O35" s="137">
        <v>36</v>
      </c>
      <c r="P35" s="137">
        <v>15</v>
      </c>
      <c r="Q35" s="136">
        <v>4.0999999999999996</v>
      </c>
      <c r="R35" s="136">
        <v>0.37</v>
      </c>
      <c r="S35" s="136">
        <v>0.15</v>
      </c>
      <c r="T35" s="136">
        <v>0.15</v>
      </c>
      <c r="U35" s="136">
        <v>5</v>
      </c>
      <c r="V35" s="136">
        <v>8.6999999999999993</v>
      </c>
      <c r="W35" s="137">
        <v>222</v>
      </c>
      <c r="X35" s="136">
        <v>0.36</v>
      </c>
      <c r="Y35" s="136">
        <v>5.7</v>
      </c>
      <c r="Z35" s="136">
        <v>15</v>
      </c>
      <c r="AA35" s="136">
        <v>1.4</v>
      </c>
      <c r="AB35" s="137">
        <v>80</v>
      </c>
      <c r="AC35" s="137">
        <v>400</v>
      </c>
      <c r="AD35" s="135">
        <v>69</v>
      </c>
      <c r="AE35" s="135">
        <v>260</v>
      </c>
      <c r="AF35" s="135">
        <v>33</v>
      </c>
      <c r="AG35" s="138">
        <v>1.2</v>
      </c>
      <c r="AH35" s="136">
        <v>1.2</v>
      </c>
      <c r="AI35" s="140">
        <v>0.434</v>
      </c>
      <c r="AJ35" s="141">
        <v>0.79600000000000004</v>
      </c>
      <c r="AK35" s="142" t="s">
        <v>148</v>
      </c>
      <c r="AL35" s="143">
        <f t="shared" si="0"/>
        <v>26.099999999999998</v>
      </c>
      <c r="AM35" s="144">
        <f t="shared" si="25"/>
        <v>0.88888888888888895</v>
      </c>
      <c r="AN35" s="144">
        <f t="shared" si="26"/>
        <v>0.77777777777777768</v>
      </c>
      <c r="AO35" s="144">
        <f t="shared" si="33"/>
        <v>0.87499999999999989</v>
      </c>
      <c r="AP35" s="144">
        <f t="shared" si="34"/>
        <v>1.2857142857142858</v>
      </c>
      <c r="AQ35" s="145">
        <f t="shared" si="1"/>
        <v>78.8</v>
      </c>
      <c r="AR35" s="146">
        <f t="shared" si="2"/>
        <v>0.75119161105815069</v>
      </c>
      <c r="AS35" s="147">
        <f t="shared" si="3"/>
        <v>1.23</v>
      </c>
      <c r="AT35" s="148">
        <f t="shared" si="27"/>
        <v>4.92</v>
      </c>
      <c r="AU35" s="144">
        <f t="shared" si="35"/>
        <v>0.54522613065326631</v>
      </c>
      <c r="AV35" s="149">
        <f t="shared" si="5"/>
        <v>1.8749999999999999E-2</v>
      </c>
      <c r="AW35" s="149">
        <f t="shared" si="6"/>
        <v>0.82</v>
      </c>
      <c r="AX35" s="149">
        <f t="shared" si="7"/>
        <v>3.0833333333333334E-2</v>
      </c>
      <c r="AY35" s="149">
        <f t="shared" si="8"/>
        <v>0.13636363636363635</v>
      </c>
      <c r="AZ35" s="149">
        <f t="shared" si="9"/>
        <v>0.10714285714285715</v>
      </c>
      <c r="BA35" s="149">
        <f t="shared" si="10"/>
        <v>0.3125</v>
      </c>
      <c r="BB35" s="149">
        <f t="shared" si="11"/>
        <v>0.25714285714285717</v>
      </c>
      <c r="BC35" s="149">
        <f t="shared" si="12"/>
        <v>2.2800000000000002</v>
      </c>
      <c r="BD35" s="149">
        <f t="shared" si="13"/>
        <v>7.4999999999999997E-2</v>
      </c>
      <c r="BE35" s="149">
        <f t="shared" si="14"/>
        <v>3.3333333333333333E-2</v>
      </c>
      <c r="BF35" s="149">
        <f t="shared" si="15"/>
        <v>0.2</v>
      </c>
      <c r="BG35" s="149">
        <f t="shared" si="16"/>
        <v>8.6249999999999993E-2</v>
      </c>
      <c r="BH35" s="149">
        <f t="shared" si="17"/>
        <v>0.37142857142857144</v>
      </c>
      <c r="BI35" s="149">
        <f t="shared" si="18"/>
        <v>8.7999999999999995E-2</v>
      </c>
      <c r="BJ35" s="149">
        <f t="shared" si="19"/>
        <v>8.5714285714285715E-2</v>
      </c>
      <c r="BK35" s="149">
        <f t="shared" si="20"/>
        <v>0.12</v>
      </c>
      <c r="BL35" s="150">
        <f t="shared" si="21"/>
        <v>83.521428571428572</v>
      </c>
      <c r="BM35" s="150">
        <f t="shared" si="22"/>
        <v>0.2</v>
      </c>
      <c r="BN35" s="150">
        <f t="shared" si="23"/>
        <v>1</v>
      </c>
      <c r="BO35" s="150">
        <f t="shared" si="24"/>
        <v>0.26538461538461539</v>
      </c>
      <c r="BP35" s="150">
        <v>8.7084166666666647</v>
      </c>
      <c r="BQ35" s="150">
        <v>8.2937301587301562</v>
      </c>
    </row>
    <row r="36" spans="1:69" x14ac:dyDescent="0.3">
      <c r="A36" s="113">
        <v>2</v>
      </c>
      <c r="B36" s="114">
        <v>820</v>
      </c>
      <c r="C36" s="115" t="s">
        <v>149</v>
      </c>
      <c r="D36" s="134" t="s">
        <v>150</v>
      </c>
      <c r="E36" s="117">
        <v>202</v>
      </c>
      <c r="F36" s="118">
        <v>13.4</v>
      </c>
      <c r="G36" s="118">
        <v>3.6</v>
      </c>
      <c r="H36" s="118">
        <v>3.7</v>
      </c>
      <c r="I36" s="118">
        <v>4.7</v>
      </c>
      <c r="J36" s="118">
        <v>0.2</v>
      </c>
      <c r="K36" s="118">
        <v>0.3</v>
      </c>
      <c r="L36" s="118">
        <v>20.3</v>
      </c>
      <c r="M36" s="118">
        <v>0.2</v>
      </c>
      <c r="N36" s="118">
        <v>64.3</v>
      </c>
      <c r="O36" s="119">
        <v>45</v>
      </c>
      <c r="P36" s="119">
        <v>28</v>
      </c>
      <c r="Q36" s="118">
        <v>2.4</v>
      </c>
      <c r="R36" s="118">
        <v>1.3</v>
      </c>
      <c r="S36" s="118">
        <v>0.13</v>
      </c>
      <c r="T36" s="118">
        <v>0.23</v>
      </c>
      <c r="U36" s="118">
        <v>9</v>
      </c>
      <c r="V36" s="118">
        <v>13</v>
      </c>
      <c r="W36" s="119">
        <v>228</v>
      </c>
      <c r="X36" s="118">
        <v>1</v>
      </c>
      <c r="Y36" s="118">
        <v>14</v>
      </c>
      <c r="Z36" s="118">
        <v>14</v>
      </c>
      <c r="AA36" s="118">
        <v>1.4</v>
      </c>
      <c r="AB36" s="119">
        <v>78</v>
      </c>
      <c r="AC36" s="119">
        <v>360</v>
      </c>
      <c r="AD36" s="117">
        <v>39</v>
      </c>
      <c r="AE36" s="117">
        <v>280</v>
      </c>
      <c r="AF36" s="117">
        <v>37</v>
      </c>
      <c r="AG36" s="120">
        <v>1.1000000000000001</v>
      </c>
      <c r="AH36" s="118">
        <v>2.2000000000000002</v>
      </c>
      <c r="AI36" s="122">
        <v>1.8</v>
      </c>
      <c r="AJ36" s="123">
        <v>2.8</v>
      </c>
      <c r="AK36" s="151" t="s">
        <v>78</v>
      </c>
      <c r="AL36" s="125">
        <f t="shared" si="0"/>
        <v>120.60000000000001</v>
      </c>
      <c r="AM36" s="131">
        <f t="shared" si="25"/>
        <v>0.78723404255319152</v>
      </c>
      <c r="AN36" s="131">
        <f t="shared" si="26"/>
        <v>0.76595744680851063</v>
      </c>
      <c r="AO36" s="131">
        <f t="shared" si="33"/>
        <v>0.97297297297297292</v>
      </c>
      <c r="AP36" s="131">
        <f t="shared" si="34"/>
        <v>1.3055555555555556</v>
      </c>
      <c r="AQ36" s="127">
        <f t="shared" si="1"/>
        <v>81.2</v>
      </c>
      <c r="AR36" s="128">
        <f t="shared" si="2"/>
        <v>0.40237859266600595</v>
      </c>
      <c r="AS36" s="129">
        <f t="shared" si="3"/>
        <v>4.5999999999999996</v>
      </c>
      <c r="AT36" s="130">
        <f t="shared" si="27"/>
        <v>18.399999999999999</v>
      </c>
      <c r="AU36" s="131">
        <f t="shared" si="35"/>
        <v>0.6428571428571429</v>
      </c>
      <c r="AV36" s="132">
        <f t="shared" si="5"/>
        <v>3.5000000000000003E-2</v>
      </c>
      <c r="AW36" s="132">
        <f t="shared" si="6"/>
        <v>0.48</v>
      </c>
      <c r="AX36" s="132">
        <f t="shared" si="7"/>
        <v>0.10833333333333334</v>
      </c>
      <c r="AY36" s="132">
        <f t="shared" si="8"/>
        <v>0.11818181818181818</v>
      </c>
      <c r="AZ36" s="132">
        <f t="shared" si="9"/>
        <v>0.16428571428571431</v>
      </c>
      <c r="BA36" s="132">
        <f t="shared" si="10"/>
        <v>0.5625</v>
      </c>
      <c r="BB36" s="132">
        <f t="shared" si="11"/>
        <v>0.7142857142857143</v>
      </c>
      <c r="BC36" s="132">
        <f t="shared" si="12"/>
        <v>5.6</v>
      </c>
      <c r="BD36" s="132">
        <f t="shared" si="13"/>
        <v>7.0000000000000007E-2</v>
      </c>
      <c r="BE36" s="132">
        <f t="shared" si="14"/>
        <v>3.2500000000000001E-2</v>
      </c>
      <c r="BF36" s="132">
        <f t="shared" si="15"/>
        <v>0.18</v>
      </c>
      <c r="BG36" s="132">
        <f t="shared" si="16"/>
        <v>4.8750000000000002E-2</v>
      </c>
      <c r="BH36" s="132">
        <f t="shared" si="17"/>
        <v>0.4</v>
      </c>
      <c r="BI36" s="132">
        <f t="shared" si="18"/>
        <v>9.8666666666666666E-2</v>
      </c>
      <c r="BJ36" s="132">
        <f t="shared" si="19"/>
        <v>7.8571428571428584E-2</v>
      </c>
      <c r="BK36" s="132">
        <f t="shared" si="20"/>
        <v>0.22000000000000003</v>
      </c>
      <c r="BL36" s="133">
        <f t="shared" si="21"/>
        <v>74.282142857142858</v>
      </c>
      <c r="BM36" s="133">
        <f t="shared" si="22"/>
        <v>0.21666666666666667</v>
      </c>
      <c r="BN36" s="133">
        <f t="shared" si="23"/>
        <v>0.5</v>
      </c>
      <c r="BO36" s="133">
        <f t="shared" si="24"/>
        <v>0.13928571428571429</v>
      </c>
      <c r="BP36" s="133">
        <v>25.60830952380952</v>
      </c>
      <c r="BQ36" s="133">
        <v>12.67738095238095</v>
      </c>
    </row>
    <row r="37" spans="1:69" x14ac:dyDescent="0.3">
      <c r="A37" s="113">
        <v>2</v>
      </c>
      <c r="B37" s="114">
        <v>823</v>
      </c>
      <c r="C37" s="115" t="s">
        <v>151</v>
      </c>
      <c r="D37" s="134" t="s">
        <v>152</v>
      </c>
      <c r="E37" s="135">
        <v>105</v>
      </c>
      <c r="F37" s="136">
        <v>2.9</v>
      </c>
      <c r="G37" s="136">
        <v>0.7</v>
      </c>
      <c r="H37" s="136">
        <v>0.8</v>
      </c>
      <c r="I37" s="136">
        <v>0.9</v>
      </c>
      <c r="J37" s="136">
        <v>0</v>
      </c>
      <c r="K37" s="136">
        <v>0</v>
      </c>
      <c r="L37" s="136">
        <v>19.7</v>
      </c>
      <c r="M37" s="136">
        <v>0.2</v>
      </c>
      <c r="N37" s="136">
        <v>75.599999999999994</v>
      </c>
      <c r="O37" s="137">
        <v>36</v>
      </c>
      <c r="P37" s="137">
        <v>15</v>
      </c>
      <c r="Q37" s="136">
        <v>4.0999999999999996</v>
      </c>
      <c r="R37" s="136">
        <v>0.37</v>
      </c>
      <c r="S37" s="136">
        <v>0.15</v>
      </c>
      <c r="T37" s="136">
        <v>0.15</v>
      </c>
      <c r="U37" s="136">
        <v>5</v>
      </c>
      <c r="V37" s="136">
        <v>8.6999999999999993</v>
      </c>
      <c r="W37" s="137">
        <v>222</v>
      </c>
      <c r="X37" s="136">
        <v>0.36</v>
      </c>
      <c r="Y37" s="136">
        <v>5.7</v>
      </c>
      <c r="Z37" s="136">
        <v>15</v>
      </c>
      <c r="AA37" s="136">
        <v>1.4</v>
      </c>
      <c r="AB37" s="137">
        <v>80</v>
      </c>
      <c r="AC37" s="137">
        <v>400</v>
      </c>
      <c r="AD37" s="135">
        <v>69</v>
      </c>
      <c r="AE37" s="135">
        <v>260</v>
      </c>
      <c r="AF37" s="135">
        <v>33</v>
      </c>
      <c r="AG37" s="138">
        <v>1.2</v>
      </c>
      <c r="AH37" s="136">
        <v>1.2</v>
      </c>
      <c r="AI37" s="140">
        <v>0.50900000000000001</v>
      </c>
      <c r="AJ37" s="141">
        <v>0.93200000000000005</v>
      </c>
      <c r="AK37" s="142" t="s">
        <v>153</v>
      </c>
      <c r="AL37" s="143">
        <f t="shared" si="0"/>
        <v>26.099999999999998</v>
      </c>
      <c r="AM37" s="144">
        <v>0</v>
      </c>
      <c r="AN37" s="144">
        <f t="shared" si="26"/>
        <v>0.77777777777777768</v>
      </c>
      <c r="AO37" s="144">
        <f t="shared" si="33"/>
        <v>0.87499999999999989</v>
      </c>
      <c r="AP37" s="144">
        <f t="shared" si="34"/>
        <v>1.2857142857142858</v>
      </c>
      <c r="AQ37" s="145">
        <f t="shared" si="1"/>
        <v>78.8</v>
      </c>
      <c r="AR37" s="146">
        <f t="shared" si="2"/>
        <v>0.75119161105815069</v>
      </c>
      <c r="AS37" s="147">
        <f t="shared" si="3"/>
        <v>1.4410000000000001</v>
      </c>
      <c r="AT37" s="148">
        <f t="shared" si="27"/>
        <v>5.7640000000000002</v>
      </c>
      <c r="AU37" s="144">
        <f t="shared" si="35"/>
        <v>0.54613733905579398</v>
      </c>
      <c r="AV37" s="149">
        <f t="shared" si="5"/>
        <v>1.8749999999999999E-2</v>
      </c>
      <c r="AW37" s="149">
        <f t="shared" si="6"/>
        <v>0.82</v>
      </c>
      <c r="AX37" s="149">
        <f t="shared" si="7"/>
        <v>3.0833333333333334E-2</v>
      </c>
      <c r="AY37" s="149">
        <f t="shared" si="8"/>
        <v>0.13636363636363635</v>
      </c>
      <c r="AZ37" s="149">
        <f t="shared" si="9"/>
        <v>0.10714285714285715</v>
      </c>
      <c r="BA37" s="149">
        <f t="shared" si="10"/>
        <v>0.3125</v>
      </c>
      <c r="BB37" s="149">
        <f t="shared" si="11"/>
        <v>0.25714285714285717</v>
      </c>
      <c r="BC37" s="149">
        <f t="shared" si="12"/>
        <v>2.2800000000000002</v>
      </c>
      <c r="BD37" s="149">
        <f t="shared" si="13"/>
        <v>7.4999999999999997E-2</v>
      </c>
      <c r="BE37" s="149">
        <f t="shared" si="14"/>
        <v>3.3333333333333333E-2</v>
      </c>
      <c r="BF37" s="149">
        <f t="shared" si="15"/>
        <v>0.2</v>
      </c>
      <c r="BG37" s="149">
        <f t="shared" si="16"/>
        <v>8.6249999999999993E-2</v>
      </c>
      <c r="BH37" s="149">
        <f t="shared" si="17"/>
        <v>0.37142857142857144</v>
      </c>
      <c r="BI37" s="149">
        <f t="shared" si="18"/>
        <v>8.7999999999999995E-2</v>
      </c>
      <c r="BJ37" s="149">
        <f t="shared" si="19"/>
        <v>8.5714285714285715E-2</v>
      </c>
      <c r="BK37" s="149">
        <f t="shared" si="20"/>
        <v>0.12</v>
      </c>
      <c r="BL37" s="150">
        <f t="shared" si="21"/>
        <v>83.521428571428572</v>
      </c>
      <c r="BM37" s="150">
        <f t="shared" si="22"/>
        <v>0.2</v>
      </c>
      <c r="BN37" s="150">
        <f t="shared" si="23"/>
        <v>1</v>
      </c>
      <c r="BO37" s="150">
        <f t="shared" si="24"/>
        <v>0.26538461538461539</v>
      </c>
      <c r="BP37" s="150">
        <v>9.5524166666666659</v>
      </c>
      <c r="BQ37" s="150">
        <v>9.097539682539681</v>
      </c>
    </row>
    <row r="38" spans="1:69" x14ac:dyDescent="0.3">
      <c r="A38" s="113">
        <v>2</v>
      </c>
      <c r="B38" s="114">
        <v>879</v>
      </c>
      <c r="C38" s="115" t="s">
        <v>154</v>
      </c>
      <c r="D38" s="134" t="s">
        <v>155</v>
      </c>
      <c r="E38" s="117">
        <v>181</v>
      </c>
      <c r="F38" s="118">
        <v>11.7</v>
      </c>
      <c r="G38" s="118">
        <v>3.1</v>
      </c>
      <c r="H38" s="118">
        <v>3.8</v>
      </c>
      <c r="I38" s="118">
        <v>3.5</v>
      </c>
      <c r="J38" s="118">
        <v>0.2</v>
      </c>
      <c r="K38" s="118">
        <v>0.3</v>
      </c>
      <c r="L38" s="118">
        <v>19</v>
      </c>
      <c r="M38" s="118">
        <v>0.2</v>
      </c>
      <c r="N38" s="118">
        <v>67.099999999999994</v>
      </c>
      <c r="O38" s="119">
        <v>45</v>
      </c>
      <c r="P38" s="119">
        <v>64</v>
      </c>
      <c r="Q38" s="118">
        <v>9.3000000000000007</v>
      </c>
      <c r="R38" s="118">
        <v>1.5</v>
      </c>
      <c r="S38" s="118">
        <v>0.11</v>
      </c>
      <c r="T38" s="118">
        <v>0.19</v>
      </c>
      <c r="U38" s="118">
        <v>5.8</v>
      </c>
      <c r="V38" s="118">
        <v>9.3000000000000007</v>
      </c>
      <c r="W38" s="119">
        <v>210</v>
      </c>
      <c r="X38" s="118">
        <v>0.43</v>
      </c>
      <c r="Y38" s="118">
        <v>8.4</v>
      </c>
      <c r="Z38" s="118">
        <v>15</v>
      </c>
      <c r="AA38" s="118">
        <v>1.3</v>
      </c>
      <c r="AB38" s="119">
        <v>76</v>
      </c>
      <c r="AC38" s="119">
        <v>370</v>
      </c>
      <c r="AD38" s="117">
        <v>56</v>
      </c>
      <c r="AE38" s="117">
        <v>270</v>
      </c>
      <c r="AF38" s="117">
        <v>30</v>
      </c>
      <c r="AG38" s="120">
        <v>0.1</v>
      </c>
      <c r="AH38" s="118">
        <v>2.7</v>
      </c>
      <c r="AI38" s="122">
        <f xml:space="preserve"> 4*0.07</f>
        <v>0.28000000000000003</v>
      </c>
      <c r="AJ38" s="123">
        <f xml:space="preserve"> 4* 0.198</f>
        <v>0.79200000000000004</v>
      </c>
      <c r="AK38" s="152" t="s">
        <v>156</v>
      </c>
      <c r="AL38" s="125">
        <f t="shared" si="0"/>
        <v>105.3</v>
      </c>
      <c r="AM38" s="131">
        <f>H38/I38</f>
        <v>1.0857142857142856</v>
      </c>
      <c r="AN38" s="131">
        <f t="shared" si="26"/>
        <v>0.88571428571428579</v>
      </c>
      <c r="AO38" s="131">
        <f t="shared" si="33"/>
        <v>0.81578947368421062</v>
      </c>
      <c r="AP38" s="131">
        <f t="shared" si="34"/>
        <v>1.129032258064516</v>
      </c>
      <c r="AQ38" s="127">
        <f t="shared" si="1"/>
        <v>76</v>
      </c>
      <c r="AR38" s="128">
        <f t="shared" si="2"/>
        <v>0.41919470490899058</v>
      </c>
      <c r="AS38" s="129">
        <f t="shared" si="3"/>
        <v>1.0720000000000001</v>
      </c>
      <c r="AT38" s="130">
        <f t="shared" si="27"/>
        <v>4.2880000000000003</v>
      </c>
      <c r="AU38" s="131">
        <f t="shared" si="35"/>
        <v>0.35353535353535354</v>
      </c>
      <c r="AV38" s="132">
        <f t="shared" si="5"/>
        <v>0.08</v>
      </c>
      <c r="AW38" s="132">
        <f t="shared" si="6"/>
        <v>1.86</v>
      </c>
      <c r="AX38" s="132">
        <f t="shared" si="7"/>
        <v>0.125</v>
      </c>
      <c r="AY38" s="132">
        <f t="shared" si="8"/>
        <v>9.9999999999999992E-2</v>
      </c>
      <c r="AZ38" s="132">
        <f t="shared" si="9"/>
        <v>0.13571428571428573</v>
      </c>
      <c r="BA38" s="132">
        <f t="shared" si="10"/>
        <v>0.36249999999999999</v>
      </c>
      <c r="BB38" s="132">
        <f t="shared" si="11"/>
        <v>0.30714285714285716</v>
      </c>
      <c r="BC38" s="132">
        <f t="shared" si="12"/>
        <v>3.3600000000000003</v>
      </c>
      <c r="BD38" s="132">
        <f t="shared" si="13"/>
        <v>7.4999999999999997E-2</v>
      </c>
      <c r="BE38" s="132">
        <f t="shared" si="14"/>
        <v>3.1666666666666669E-2</v>
      </c>
      <c r="BF38" s="132">
        <f t="shared" si="15"/>
        <v>0.185</v>
      </c>
      <c r="BG38" s="132">
        <f t="shared" si="16"/>
        <v>7.0000000000000007E-2</v>
      </c>
      <c r="BH38" s="132">
        <f t="shared" si="17"/>
        <v>0.38571428571428573</v>
      </c>
      <c r="BI38" s="132">
        <f t="shared" si="18"/>
        <v>0.08</v>
      </c>
      <c r="BJ38" s="132">
        <f t="shared" si="19"/>
        <v>7.1428571428571435E-3</v>
      </c>
      <c r="BK38" s="132">
        <f t="shared" si="20"/>
        <v>0.27</v>
      </c>
      <c r="BL38" s="133">
        <f t="shared" si="21"/>
        <v>74.047619047619037</v>
      </c>
      <c r="BM38" s="133">
        <f t="shared" si="22"/>
        <v>0.20540540540540542</v>
      </c>
      <c r="BN38" s="133">
        <f t="shared" si="23"/>
        <v>3.7037037037037035E-2</v>
      </c>
      <c r="BO38" s="133">
        <f t="shared" si="24"/>
        <v>0.2074074074074074</v>
      </c>
      <c r="BP38" s="133">
        <v>10.236333333333336</v>
      </c>
      <c r="BQ38" s="133">
        <v>5.6554327808471472</v>
      </c>
    </row>
    <row r="39" spans="1:69" x14ac:dyDescent="0.3">
      <c r="A39" s="113">
        <v>2</v>
      </c>
      <c r="B39" s="114">
        <v>882</v>
      </c>
      <c r="C39" s="115" t="s">
        <v>157</v>
      </c>
      <c r="D39" s="134" t="s">
        <v>158</v>
      </c>
      <c r="E39" s="135">
        <v>221</v>
      </c>
      <c r="F39" s="136">
        <v>16.399999999999999</v>
      </c>
      <c r="G39" s="136">
        <v>4.7</v>
      </c>
      <c r="H39" s="136">
        <v>4</v>
      </c>
      <c r="I39" s="136">
        <v>5.6</v>
      </c>
      <c r="J39" s="136">
        <v>0.5</v>
      </c>
      <c r="K39" s="136">
        <v>0.5</v>
      </c>
      <c r="L39" s="136">
        <v>18.399999999999999</v>
      </c>
      <c r="M39" s="136">
        <v>0.2</v>
      </c>
      <c r="N39" s="136">
        <v>63.4</v>
      </c>
      <c r="O39" s="137">
        <v>20</v>
      </c>
      <c r="P39" s="137">
        <v>47</v>
      </c>
      <c r="Q39" s="136">
        <v>21</v>
      </c>
      <c r="R39" s="136">
        <v>0.66</v>
      </c>
      <c r="S39" s="136">
        <v>0.01</v>
      </c>
      <c r="T39" s="136">
        <v>0.08</v>
      </c>
      <c r="U39" s="136">
        <v>4.4000000000000004</v>
      </c>
      <c r="V39" s="136">
        <v>7.8</v>
      </c>
      <c r="W39" s="137">
        <v>204</v>
      </c>
      <c r="X39" s="136">
        <v>0.56999999999999995</v>
      </c>
      <c r="Y39" s="136">
        <v>10</v>
      </c>
      <c r="Z39" s="136">
        <v>15</v>
      </c>
      <c r="AA39" s="136">
        <v>1.7</v>
      </c>
      <c r="AB39" s="137">
        <v>65</v>
      </c>
      <c r="AC39" s="137">
        <v>370</v>
      </c>
      <c r="AD39" s="135">
        <v>72</v>
      </c>
      <c r="AE39" s="135">
        <v>310</v>
      </c>
      <c r="AF39" s="135">
        <v>31</v>
      </c>
      <c r="AG39" s="138">
        <v>1</v>
      </c>
      <c r="AH39" s="136">
        <v>1.6</v>
      </c>
      <c r="AI39" s="140">
        <v>2.0299999999999998</v>
      </c>
      <c r="AJ39" s="141">
        <v>2.52</v>
      </c>
      <c r="AK39" s="153" t="s">
        <v>159</v>
      </c>
      <c r="AL39" s="143">
        <f t="shared" si="0"/>
        <v>147.6</v>
      </c>
      <c r="AM39" s="144">
        <f>H39/I39</f>
        <v>0.7142857142857143</v>
      </c>
      <c r="AN39" s="144">
        <f t="shared" si="26"/>
        <v>0.83928571428571441</v>
      </c>
      <c r="AO39" s="144">
        <f t="shared" si="33"/>
        <v>1.175</v>
      </c>
      <c r="AP39" s="144">
        <f t="shared" si="34"/>
        <v>1.1914893617021276</v>
      </c>
      <c r="AQ39" s="145">
        <f t="shared" si="1"/>
        <v>73.599999999999994</v>
      </c>
      <c r="AR39" s="146">
        <f t="shared" si="2"/>
        <v>0.33273056057866185</v>
      </c>
      <c r="AS39" s="147">
        <f t="shared" si="3"/>
        <v>4.55</v>
      </c>
      <c r="AT39" s="148">
        <f t="shared" si="27"/>
        <v>18.2</v>
      </c>
      <c r="AU39" s="144">
        <f t="shared" si="35"/>
        <v>0.80555555555555547</v>
      </c>
      <c r="AV39" s="149">
        <f t="shared" si="5"/>
        <v>5.8749999999999997E-2</v>
      </c>
      <c r="AW39" s="149">
        <f t="shared" si="6"/>
        <v>4.2</v>
      </c>
      <c r="AX39" s="149">
        <f t="shared" si="7"/>
        <v>5.5E-2</v>
      </c>
      <c r="AY39" s="149">
        <f t="shared" si="8"/>
        <v>9.0909090909090905E-3</v>
      </c>
      <c r="AZ39" s="149">
        <f t="shared" si="9"/>
        <v>5.7142857142857148E-2</v>
      </c>
      <c r="BA39" s="149">
        <f t="shared" si="10"/>
        <v>0.27500000000000002</v>
      </c>
      <c r="BB39" s="149">
        <f t="shared" si="11"/>
        <v>0.40714285714285714</v>
      </c>
      <c r="BC39" s="149">
        <f t="shared" si="12"/>
        <v>4</v>
      </c>
      <c r="BD39" s="149">
        <f t="shared" si="13"/>
        <v>7.4999999999999997E-2</v>
      </c>
      <c r="BE39" s="149">
        <f t="shared" si="14"/>
        <v>2.7083333333333334E-2</v>
      </c>
      <c r="BF39" s="149">
        <f t="shared" si="15"/>
        <v>0.185</v>
      </c>
      <c r="BG39" s="149">
        <f t="shared" si="16"/>
        <v>0.09</v>
      </c>
      <c r="BH39" s="149">
        <f t="shared" si="17"/>
        <v>0.44285714285714284</v>
      </c>
      <c r="BI39" s="149">
        <f t="shared" si="18"/>
        <v>8.2666666666666666E-2</v>
      </c>
      <c r="BJ39" s="149">
        <f t="shared" si="19"/>
        <v>7.1428571428571425E-2</v>
      </c>
      <c r="BK39" s="149">
        <f t="shared" si="20"/>
        <v>0.16</v>
      </c>
      <c r="BL39" s="150">
        <f t="shared" si="21"/>
        <v>64.876190476190473</v>
      </c>
      <c r="BM39" s="150">
        <f t="shared" si="22"/>
        <v>0.17567567567567569</v>
      </c>
      <c r="BN39" s="150">
        <f t="shared" si="23"/>
        <v>0.625</v>
      </c>
      <c r="BO39" s="150">
        <f t="shared" si="24"/>
        <v>0.23225806451612904</v>
      </c>
      <c r="BP39" s="150">
        <v>27.093380952380954</v>
      </c>
      <c r="BQ39" s="150">
        <v>12.259448394742513</v>
      </c>
    </row>
    <row r="40" spans="1:69" x14ac:dyDescent="0.3">
      <c r="A40" s="113">
        <v>2</v>
      </c>
      <c r="B40" s="114">
        <v>885</v>
      </c>
      <c r="C40" s="115" t="s">
        <v>160</v>
      </c>
      <c r="D40" s="134" t="s">
        <v>158</v>
      </c>
      <c r="E40" s="117">
        <v>158</v>
      </c>
      <c r="F40" s="118">
        <v>9.1</v>
      </c>
      <c r="G40" s="118">
        <v>2.5</v>
      </c>
      <c r="H40" s="118">
        <v>2.2000000000000002</v>
      </c>
      <c r="I40" s="118">
        <v>3.3</v>
      </c>
      <c r="J40" s="118">
        <v>0.2</v>
      </c>
      <c r="K40" s="118">
        <v>0.3</v>
      </c>
      <c r="L40" s="118">
        <v>18.899999999999999</v>
      </c>
      <c r="M40" s="118">
        <v>0.2</v>
      </c>
      <c r="N40" s="118">
        <v>68.900000000000006</v>
      </c>
      <c r="O40" s="119">
        <v>28</v>
      </c>
      <c r="P40" s="119">
        <v>12</v>
      </c>
      <c r="Q40" s="118">
        <v>17</v>
      </c>
      <c r="R40" s="118">
        <v>0.25</v>
      </c>
      <c r="S40" s="118">
        <v>0.01</v>
      </c>
      <c r="T40" s="118">
        <v>0.14000000000000001</v>
      </c>
      <c r="U40" s="118">
        <v>6.2</v>
      </c>
      <c r="V40" s="118">
        <v>9.6999999999999993</v>
      </c>
      <c r="W40" s="119">
        <v>210</v>
      </c>
      <c r="X40" s="118">
        <v>0.41</v>
      </c>
      <c r="Y40" s="118">
        <v>10</v>
      </c>
      <c r="Z40" s="118">
        <v>24</v>
      </c>
      <c r="AA40" s="118">
        <v>1.6</v>
      </c>
      <c r="AB40" s="119">
        <v>65</v>
      </c>
      <c r="AC40" s="119">
        <v>400</v>
      </c>
      <c r="AD40" s="117">
        <v>70</v>
      </c>
      <c r="AE40" s="117">
        <v>300</v>
      </c>
      <c r="AF40" s="117">
        <v>29</v>
      </c>
      <c r="AG40" s="120">
        <v>1.7</v>
      </c>
      <c r="AH40" s="118">
        <v>1.7</v>
      </c>
      <c r="AI40" s="122">
        <v>2.0299999999999998</v>
      </c>
      <c r="AJ40" s="123">
        <v>2.52</v>
      </c>
      <c r="AK40" s="152" t="s">
        <v>159</v>
      </c>
      <c r="AL40" s="125">
        <f t="shared" si="0"/>
        <v>81.899999999999991</v>
      </c>
      <c r="AM40" s="131">
        <f>H40/I40</f>
        <v>0.66666666666666674</v>
      </c>
      <c r="AN40" s="131">
        <f t="shared" si="26"/>
        <v>0.75757575757575757</v>
      </c>
      <c r="AO40" s="131">
        <f t="shared" si="33"/>
        <v>1.1363636363636362</v>
      </c>
      <c r="AP40" s="131">
        <f t="shared" si="34"/>
        <v>1.3199999999999998</v>
      </c>
      <c r="AQ40" s="127">
        <f t="shared" si="1"/>
        <v>75.599999999999994</v>
      </c>
      <c r="AR40" s="128">
        <f t="shared" si="2"/>
        <v>0.48</v>
      </c>
      <c r="AS40" s="129">
        <f t="shared" si="3"/>
        <v>4.55</v>
      </c>
      <c r="AT40" s="130">
        <f t="shared" si="27"/>
        <v>18.2</v>
      </c>
      <c r="AU40" s="131">
        <f t="shared" si="35"/>
        <v>0.80555555555555547</v>
      </c>
      <c r="AV40" s="132">
        <f t="shared" si="5"/>
        <v>1.4999999999999999E-2</v>
      </c>
      <c r="AW40" s="132">
        <f t="shared" si="6"/>
        <v>3.4</v>
      </c>
      <c r="AX40" s="132">
        <f t="shared" si="7"/>
        <v>2.0833333333333332E-2</v>
      </c>
      <c r="AY40" s="132">
        <f t="shared" si="8"/>
        <v>9.0909090909090905E-3</v>
      </c>
      <c r="AZ40" s="132">
        <f t="shared" si="9"/>
        <v>0.10000000000000002</v>
      </c>
      <c r="BA40" s="132">
        <f t="shared" si="10"/>
        <v>0.38750000000000001</v>
      </c>
      <c r="BB40" s="132">
        <f t="shared" si="11"/>
        <v>0.29285714285714287</v>
      </c>
      <c r="BC40" s="132">
        <f t="shared" si="12"/>
        <v>4</v>
      </c>
      <c r="BD40" s="132">
        <f t="shared" si="13"/>
        <v>0.12</v>
      </c>
      <c r="BE40" s="132">
        <f t="shared" si="14"/>
        <v>2.7083333333333334E-2</v>
      </c>
      <c r="BF40" s="132">
        <f t="shared" si="15"/>
        <v>0.2</v>
      </c>
      <c r="BG40" s="132">
        <f t="shared" si="16"/>
        <v>8.7499999999999994E-2</v>
      </c>
      <c r="BH40" s="132">
        <f t="shared" si="17"/>
        <v>0.42857142857142855</v>
      </c>
      <c r="BI40" s="132">
        <f t="shared" si="18"/>
        <v>7.7333333333333337E-2</v>
      </c>
      <c r="BJ40" s="132">
        <f t="shared" si="19"/>
        <v>0.12142857142857143</v>
      </c>
      <c r="BK40" s="132">
        <f t="shared" si="20"/>
        <v>0.16999999999999998</v>
      </c>
      <c r="BL40" s="133">
        <f t="shared" si="21"/>
        <v>74.80119047619047</v>
      </c>
      <c r="BM40" s="133">
        <f t="shared" si="22"/>
        <v>0.16250000000000001</v>
      </c>
      <c r="BN40" s="133">
        <f t="shared" si="23"/>
        <v>1</v>
      </c>
      <c r="BO40" s="133">
        <f t="shared" si="24"/>
        <v>0.23333333333333334</v>
      </c>
      <c r="BP40" s="133">
        <v>26.33120238095238</v>
      </c>
      <c r="BQ40" s="133">
        <v>16.665317962628091</v>
      </c>
    </row>
    <row r="41" spans="1:69" ht="15" thickBot="1" x14ac:dyDescent="0.35">
      <c r="A41" s="154">
        <v>2</v>
      </c>
      <c r="B41" s="155">
        <v>876</v>
      </c>
      <c r="C41" s="156" t="s">
        <v>161</v>
      </c>
      <c r="D41" s="157" t="s">
        <v>162</v>
      </c>
      <c r="E41" s="158">
        <v>262</v>
      </c>
      <c r="F41" s="159">
        <v>21.9</v>
      </c>
      <c r="G41" s="159">
        <v>4.2</v>
      </c>
      <c r="H41" s="159">
        <v>10</v>
      </c>
      <c r="I41" s="159">
        <v>5.0999999999999996</v>
      </c>
      <c r="J41" s="159">
        <v>0.7</v>
      </c>
      <c r="K41" s="159">
        <v>0</v>
      </c>
      <c r="L41" s="159">
        <v>16.2</v>
      </c>
      <c r="M41" s="159">
        <v>0.1</v>
      </c>
      <c r="N41" s="159">
        <v>60.5</v>
      </c>
      <c r="O41" s="160">
        <v>40</v>
      </c>
      <c r="P41" s="160">
        <v>33</v>
      </c>
      <c r="Q41" s="159">
        <v>11</v>
      </c>
      <c r="R41" s="159">
        <v>4</v>
      </c>
      <c r="S41" s="159">
        <v>0.18</v>
      </c>
      <c r="T41" s="159">
        <v>0.04</v>
      </c>
      <c r="U41" s="159">
        <v>3.6</v>
      </c>
      <c r="V41" s="159">
        <v>6.6</v>
      </c>
      <c r="W41" s="160">
        <v>180</v>
      </c>
      <c r="X41" s="159">
        <v>0.45</v>
      </c>
      <c r="Y41" s="159">
        <v>1.9</v>
      </c>
      <c r="Z41" s="159">
        <v>10</v>
      </c>
      <c r="AA41" s="159">
        <v>1.3</v>
      </c>
      <c r="AB41" s="160">
        <v>38</v>
      </c>
      <c r="AC41" s="160">
        <v>300</v>
      </c>
      <c r="AD41" s="158">
        <v>12</v>
      </c>
      <c r="AE41" s="158">
        <v>210</v>
      </c>
      <c r="AF41" s="158">
        <v>23</v>
      </c>
      <c r="AG41" s="161">
        <v>0.5</v>
      </c>
      <c r="AH41" s="159">
        <v>0.5</v>
      </c>
      <c r="AI41" s="163">
        <v>0.59</v>
      </c>
      <c r="AJ41" s="244">
        <v>0.82</v>
      </c>
      <c r="AK41" s="245" t="s">
        <v>75</v>
      </c>
      <c r="AL41" s="165">
        <f t="shared" si="0"/>
        <v>197.1</v>
      </c>
      <c r="AM41" s="166">
        <f>H41/I41</f>
        <v>1.9607843137254903</v>
      </c>
      <c r="AN41" s="166">
        <f t="shared" si="26"/>
        <v>0.82352941176470595</v>
      </c>
      <c r="AO41" s="166">
        <f t="shared" si="33"/>
        <v>0.42000000000000004</v>
      </c>
      <c r="AP41" s="166">
        <f t="shared" si="34"/>
        <v>1.2142857142857142</v>
      </c>
      <c r="AQ41" s="167">
        <f t="shared" si="1"/>
        <v>64.8</v>
      </c>
      <c r="AR41" s="168">
        <f t="shared" si="2"/>
        <v>0.24742268041237114</v>
      </c>
      <c r="AS41" s="169">
        <f t="shared" si="3"/>
        <v>1.41</v>
      </c>
      <c r="AT41" s="170">
        <f t="shared" si="27"/>
        <v>5.64</v>
      </c>
      <c r="AU41" s="166">
        <f t="shared" si="35"/>
        <v>0.71951219512195119</v>
      </c>
      <c r="AV41" s="171">
        <f t="shared" si="5"/>
        <v>4.1250000000000002E-2</v>
      </c>
      <c r="AW41" s="171">
        <f t="shared" si="6"/>
        <v>2.2000000000000002</v>
      </c>
      <c r="AX41" s="171">
        <f t="shared" si="7"/>
        <v>0.33333333333333331</v>
      </c>
      <c r="AY41" s="171">
        <f t="shared" si="8"/>
        <v>0.16363636363636361</v>
      </c>
      <c r="AZ41" s="171">
        <f t="shared" si="9"/>
        <v>2.8571428571428574E-2</v>
      </c>
      <c r="BA41" s="171">
        <f t="shared" si="10"/>
        <v>0.22500000000000001</v>
      </c>
      <c r="BB41" s="171">
        <f t="shared" si="11"/>
        <v>0.32142857142857145</v>
      </c>
      <c r="BC41" s="171">
        <f t="shared" si="12"/>
        <v>0.76</v>
      </c>
      <c r="BD41" s="171">
        <f t="shared" si="13"/>
        <v>0.05</v>
      </c>
      <c r="BE41" s="171">
        <f t="shared" si="14"/>
        <v>1.5833333333333335E-2</v>
      </c>
      <c r="BF41" s="171">
        <f t="shared" si="15"/>
        <v>0.15</v>
      </c>
      <c r="BG41" s="171">
        <f t="shared" si="16"/>
        <v>1.4999999999999999E-2</v>
      </c>
      <c r="BH41" s="171">
        <f t="shared" si="17"/>
        <v>0.3</v>
      </c>
      <c r="BI41" s="171">
        <f t="shared" si="18"/>
        <v>6.133333333333333E-2</v>
      </c>
      <c r="BJ41" s="171">
        <f t="shared" si="19"/>
        <v>3.5714285714285712E-2</v>
      </c>
      <c r="BK41" s="171">
        <f t="shared" si="20"/>
        <v>0.05</v>
      </c>
      <c r="BL41" s="172">
        <f t="shared" si="21"/>
        <v>73.479761904761915</v>
      </c>
      <c r="BM41" s="172">
        <f t="shared" si="22"/>
        <v>0.12666666666666668</v>
      </c>
      <c r="BN41" s="172">
        <f t="shared" si="23"/>
        <v>1</v>
      </c>
      <c r="BO41" s="172">
        <f t="shared" si="24"/>
        <v>5.7142857142857141E-2</v>
      </c>
      <c r="BP41" s="172">
        <v>8.9291309523809534</v>
      </c>
      <c r="BQ41" s="172">
        <v>3.408065249000364</v>
      </c>
    </row>
    <row r="44" spans="1:69" x14ac:dyDescent="0.3">
      <c r="BP44" s="230"/>
      <c r="BQ44" s="230"/>
    </row>
  </sheetData>
  <hyperlinks>
    <hyperlink ref="AK33" r:id="rId1" display="https://dspace.uevora.pt/rdpc/bitstream/10174/36877/1/sea-lamprey-petromyzon-marinus-l-a-delicacy-with-high-gastronomic-impact-in-several-countries-of-western-europe-nutritional-composition-and-healthy-lipid-index- %281%29.pdf?utm_source=chatgpt.com" xr:uid="{0C7B8ACA-21EA-4551-9183-C89BCAF54C94}"/>
    <hyperlink ref="AK39" r:id="rId2" tooltip="Persistent link using digital object identifier" display="https://doi.org/10.1016/j.focha.2024.100637" xr:uid="{5CE5DE44-8DFE-41E3-BD9F-02B00FC8AF9B}"/>
    <hyperlink ref="AK38" r:id="rId3" display="https://doi.org/10.1111/ijfs.12578" xr:uid="{9E7D0BAD-8543-4E2D-B3FC-FF2646E4545E}"/>
    <hyperlink ref="AK40" r:id="rId4" tooltip="Persistent link using digital object identifier" display="https://doi.org/10.1016/j.focha.2024.100637" xr:uid="{24699D8F-AA83-46B6-B7AE-2E97E7D06A0F}"/>
  </hyperlinks>
  <pageMargins left="0.7" right="0.7" top="0.75" bottom="0.75" header="0.3" footer="0.3"/>
  <pageSetup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98D3B-2A84-4770-BEBA-794AFB54D669}">
  <dimension ref="A1:BT12"/>
  <sheetViews>
    <sheetView zoomScale="70" zoomScaleNormal="70" workbookViewId="0">
      <selection activeCell="G28" sqref="G28"/>
    </sheetView>
  </sheetViews>
  <sheetFormatPr defaultRowHeight="14.4" x14ac:dyDescent="0.3"/>
  <cols>
    <col min="1" max="1" width="8.88671875" customWidth="1"/>
    <col min="2" max="2" width="14.44140625" customWidth="1"/>
    <col min="3" max="3" width="21" customWidth="1"/>
    <col min="4" max="4" width="28" customWidth="1"/>
    <col min="5" max="5" width="18.33203125" customWidth="1"/>
    <col min="35" max="35" width="8.88671875" customWidth="1"/>
    <col min="36" max="36" width="17.33203125" customWidth="1"/>
    <col min="37" max="37" width="11.6640625" style="222" customWidth="1"/>
    <col min="38" max="38" width="11.33203125" style="222" customWidth="1"/>
    <col min="39" max="39" width="36.33203125" style="223" customWidth="1"/>
    <col min="40" max="40" width="10.33203125" customWidth="1"/>
    <col min="41" max="41" width="14.33203125" customWidth="1"/>
    <col min="42" max="46" width="13.33203125" customWidth="1"/>
    <col min="47" max="47" width="14.33203125" customWidth="1"/>
    <col min="48" max="48" width="12.88671875" customWidth="1"/>
    <col min="49" max="49" width="13.88671875" style="222" customWidth="1"/>
    <col min="50" max="50" width="16" style="222" customWidth="1"/>
    <col min="51" max="51" width="10.88671875" customWidth="1"/>
    <col min="52" max="60" width="13" customWidth="1"/>
    <col min="61" max="67" width="10.109375" customWidth="1"/>
    <col min="68" max="68" width="11.5546875" customWidth="1"/>
    <col min="69" max="70" width="12.88671875" customWidth="1"/>
    <col min="71" max="71" width="19.44140625" customWidth="1"/>
    <col min="72" max="72" width="18.44140625" customWidth="1"/>
  </cols>
  <sheetData>
    <row r="1" spans="1:72" ht="49.5" customHeight="1" thickBot="1" x14ac:dyDescent="0.35">
      <c r="A1" s="1" t="s">
        <v>0</v>
      </c>
      <c r="B1" s="1" t="s">
        <v>1</v>
      </c>
      <c r="C1" s="2" t="s">
        <v>2</v>
      </c>
      <c r="D1" s="3" t="s">
        <v>3</v>
      </c>
      <c r="E1" s="268" t="s">
        <v>4</v>
      </c>
      <c r="F1" s="4"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4" t="s">
        <v>30</v>
      </c>
      <c r="AF1" s="4" t="s">
        <v>31</v>
      </c>
      <c r="AG1" s="4" t="s">
        <v>32</v>
      </c>
      <c r="AH1" s="4" t="s">
        <v>33</v>
      </c>
      <c r="AI1" s="6" t="s">
        <v>34</v>
      </c>
      <c r="AJ1" s="246" t="s">
        <v>35</v>
      </c>
      <c r="AK1" s="237" t="s">
        <v>36</v>
      </c>
      <c r="AL1" s="238" t="s">
        <v>37</v>
      </c>
      <c r="AM1" s="7" t="s">
        <v>38</v>
      </c>
      <c r="AN1" s="246" t="s">
        <v>39</v>
      </c>
      <c r="AO1" s="8" t="s">
        <v>40</v>
      </c>
      <c r="AP1" s="9" t="s">
        <v>41</v>
      </c>
      <c r="AQ1" s="9" t="s">
        <v>42</v>
      </c>
      <c r="AR1" s="9" t="s">
        <v>43</v>
      </c>
      <c r="AS1" s="9" t="s">
        <v>44</v>
      </c>
      <c r="AT1" s="9" t="s">
        <v>45</v>
      </c>
      <c r="AU1" s="9" t="s">
        <v>46</v>
      </c>
      <c r="AV1" s="10" t="s">
        <v>47</v>
      </c>
      <c r="AW1" s="10" t="s">
        <v>48</v>
      </c>
      <c r="AX1" s="11" t="s">
        <v>49</v>
      </c>
      <c r="AY1" s="11" t="s">
        <v>50</v>
      </c>
      <c r="AZ1" s="11" t="s">
        <v>51</v>
      </c>
      <c r="BA1" s="11" t="s">
        <v>52</v>
      </c>
      <c r="BB1" s="11" t="s">
        <v>53</v>
      </c>
      <c r="BC1" s="11" t="s">
        <v>54</v>
      </c>
      <c r="BD1" s="11" t="s">
        <v>55</v>
      </c>
      <c r="BE1" s="11" t="s">
        <v>56</v>
      </c>
      <c r="BF1" s="11" t="s">
        <v>57</v>
      </c>
      <c r="BG1" s="11" t="s">
        <v>58</v>
      </c>
      <c r="BH1" s="11" t="s">
        <v>59</v>
      </c>
      <c r="BI1" s="11" t="s">
        <v>60</v>
      </c>
      <c r="BJ1" s="11" t="s">
        <v>61</v>
      </c>
      <c r="BK1" s="11" t="s">
        <v>62</v>
      </c>
      <c r="BL1" s="11" t="s">
        <v>63</v>
      </c>
      <c r="BM1" s="11" t="s">
        <v>64</v>
      </c>
      <c r="BN1" s="11" t="s">
        <v>65</v>
      </c>
      <c r="BO1" s="11" t="s">
        <v>66</v>
      </c>
      <c r="BP1" s="10" t="s">
        <v>67</v>
      </c>
      <c r="BQ1" s="10" t="s">
        <v>68</v>
      </c>
      <c r="BR1" s="12" t="s">
        <v>69</v>
      </c>
      <c r="BS1" s="10" t="s">
        <v>171</v>
      </c>
      <c r="BT1" s="12" t="s">
        <v>172</v>
      </c>
    </row>
    <row r="2" spans="1:72" x14ac:dyDescent="0.3">
      <c r="A2" s="247">
        <v>0</v>
      </c>
      <c r="B2" s="249" t="s">
        <v>163</v>
      </c>
      <c r="C2" s="249"/>
      <c r="D2" s="250"/>
      <c r="E2" s="268"/>
      <c r="F2" s="173">
        <v>89.86666666666666</v>
      </c>
      <c r="G2" s="174">
        <v>1.79</v>
      </c>
      <c r="H2" s="174">
        <v>0.38333333333333325</v>
      </c>
      <c r="I2" s="174">
        <v>0.65666666666666651</v>
      </c>
      <c r="J2" s="174">
        <v>0.37333333333333335</v>
      </c>
      <c r="K2" s="174">
        <v>4.1749999999999995E-2</v>
      </c>
      <c r="L2" s="174">
        <v>0</v>
      </c>
      <c r="M2" s="174">
        <v>18.416666666666664</v>
      </c>
      <c r="N2" s="174">
        <v>0.24666666666666667</v>
      </c>
      <c r="O2" s="174">
        <v>77.966666666666669</v>
      </c>
      <c r="P2" s="175">
        <v>39.4</v>
      </c>
      <c r="Q2" s="175">
        <v>19.8</v>
      </c>
      <c r="R2" s="174">
        <v>7.120000000000001</v>
      </c>
      <c r="S2" s="174">
        <v>0.81666666666666665</v>
      </c>
      <c r="T2" s="174">
        <v>7.2999999999999995E-2</v>
      </c>
      <c r="U2" s="174">
        <v>4.8333333333333353E-2</v>
      </c>
      <c r="V2" s="174">
        <v>2.1463333333333336</v>
      </c>
      <c r="W2" s="174">
        <v>5.5663333333333354</v>
      </c>
      <c r="X2" s="175">
        <v>205</v>
      </c>
      <c r="Y2" s="174">
        <v>0.22366666666666671</v>
      </c>
      <c r="Z2" s="174">
        <v>1.3293333333333333</v>
      </c>
      <c r="AA2" s="174">
        <v>11.903333333333334</v>
      </c>
      <c r="AB2" s="174">
        <v>1.2676666666666667</v>
      </c>
      <c r="AC2" s="175">
        <v>94.733333333333334</v>
      </c>
      <c r="AD2" s="175">
        <v>349</v>
      </c>
      <c r="AE2" s="175">
        <v>28</v>
      </c>
      <c r="AF2" s="175">
        <v>206.66666666666666</v>
      </c>
      <c r="AG2" s="175">
        <v>29.8</v>
      </c>
      <c r="AH2" s="174">
        <v>0.37333333333333335</v>
      </c>
      <c r="AI2" s="176">
        <v>0.6333333333333333</v>
      </c>
      <c r="AJ2" s="246"/>
      <c r="AK2" s="177">
        <v>0.1903</v>
      </c>
      <c r="AL2" s="178">
        <v>0.35896666666666677</v>
      </c>
      <c r="AM2" s="179"/>
      <c r="AN2" s="246"/>
      <c r="AO2" s="180">
        <v>16.110000000000003</v>
      </c>
      <c r="AP2" s="181">
        <v>1.5711507936507938</v>
      </c>
      <c r="AQ2" s="181">
        <v>0.7906481481481481</v>
      </c>
      <c r="AR2" s="181">
        <v>0.58113441841383018</v>
      </c>
      <c r="AS2" s="181">
        <v>1.0023015873015872</v>
      </c>
      <c r="AT2" s="181">
        <v>73.666666666666657</v>
      </c>
      <c r="AU2" s="181">
        <v>0.84169844052680143</v>
      </c>
      <c r="AV2" s="181">
        <v>0.54926666666666657</v>
      </c>
      <c r="AW2" s="224">
        <v>2.1970666666666663</v>
      </c>
      <c r="AX2" s="181">
        <v>0.54831993653209776</v>
      </c>
      <c r="AY2" s="224">
        <v>2.4749999999999998E-2</v>
      </c>
      <c r="AZ2" s="224">
        <v>1.4239999999999997</v>
      </c>
      <c r="BA2" s="224">
        <v>6.8055555555555564E-2</v>
      </c>
      <c r="BB2" s="224">
        <v>6.6363636363636361E-2</v>
      </c>
      <c r="BC2" s="224">
        <v>3.4523809523809519E-2</v>
      </c>
      <c r="BD2" s="224">
        <v>0.13414583333333335</v>
      </c>
      <c r="BE2" s="224">
        <v>0.15976190476190472</v>
      </c>
      <c r="BF2" s="224">
        <v>0.53173333333333339</v>
      </c>
      <c r="BG2" s="224">
        <v>5.9516666666666683E-2</v>
      </c>
      <c r="BH2" s="224">
        <v>3.9472222222222228E-2</v>
      </c>
      <c r="BI2" s="224">
        <v>0.17450000000000002</v>
      </c>
      <c r="BJ2" s="224">
        <v>3.5000000000000003E-2</v>
      </c>
      <c r="BK2" s="224">
        <v>0.29523809523809519</v>
      </c>
      <c r="BL2" s="224">
        <v>7.9466666666666672E-2</v>
      </c>
      <c r="BM2" s="224">
        <v>2.6666666666666668E-2</v>
      </c>
      <c r="BN2" s="224">
        <v>6.3333333333333366E-2</v>
      </c>
      <c r="BO2" s="181">
        <v>71.813333333333333</v>
      </c>
      <c r="BP2" s="181">
        <v>0.29085336789306032</v>
      </c>
      <c r="BQ2" s="181">
        <v>0.65897065897065887</v>
      </c>
      <c r="BR2" s="181">
        <v>0.13528703319334628</v>
      </c>
      <c r="BS2" s="181">
        <v>4.5258301587301588</v>
      </c>
      <c r="BT2" s="181">
        <v>4.8237546780321408</v>
      </c>
    </row>
    <row r="3" spans="1:72" x14ac:dyDescent="0.3">
      <c r="A3" s="248"/>
      <c r="B3" s="251" t="s">
        <v>164</v>
      </c>
      <c r="C3" s="251"/>
      <c r="D3" s="252"/>
      <c r="E3" s="268"/>
      <c r="F3" s="182" t="s">
        <v>173</v>
      </c>
      <c r="G3" s="183" t="s">
        <v>174</v>
      </c>
      <c r="H3" s="183" t="s">
        <v>175</v>
      </c>
      <c r="I3" s="183" t="s">
        <v>176</v>
      </c>
      <c r="J3" s="183" t="s">
        <v>177</v>
      </c>
      <c r="K3" s="183" t="s">
        <v>178</v>
      </c>
      <c r="L3" s="183" t="s">
        <v>179</v>
      </c>
      <c r="M3" s="183" t="s">
        <v>180</v>
      </c>
      <c r="N3" s="183" t="s">
        <v>181</v>
      </c>
      <c r="O3" s="183" t="s">
        <v>182</v>
      </c>
      <c r="P3" s="231" t="s">
        <v>183</v>
      </c>
      <c r="Q3" s="183" t="s">
        <v>184</v>
      </c>
      <c r="R3" s="183" t="s">
        <v>185</v>
      </c>
      <c r="S3" s="183" t="s">
        <v>186</v>
      </c>
      <c r="T3" s="183" t="s">
        <v>187</v>
      </c>
      <c r="U3" s="183" t="s">
        <v>188</v>
      </c>
      <c r="V3" s="183" t="s">
        <v>189</v>
      </c>
      <c r="W3" s="183" t="s">
        <v>190</v>
      </c>
      <c r="X3" s="183" t="s">
        <v>191</v>
      </c>
      <c r="Y3" s="183" t="s">
        <v>192</v>
      </c>
      <c r="Z3" s="183" t="s">
        <v>193</v>
      </c>
      <c r="AA3" s="183" t="s">
        <v>194</v>
      </c>
      <c r="AB3" s="183" t="s">
        <v>195</v>
      </c>
      <c r="AC3" s="235" t="s">
        <v>196</v>
      </c>
      <c r="AD3" s="183" t="s">
        <v>197</v>
      </c>
      <c r="AE3" s="183" t="s">
        <v>198</v>
      </c>
      <c r="AF3" s="183" t="s">
        <v>199</v>
      </c>
      <c r="AG3" s="183" t="s">
        <v>200</v>
      </c>
      <c r="AH3" s="183" t="s">
        <v>201</v>
      </c>
      <c r="AI3" s="184" t="s">
        <v>202</v>
      </c>
      <c r="AJ3" s="246"/>
      <c r="AK3" s="185" t="s">
        <v>195</v>
      </c>
      <c r="AL3" s="29" t="s">
        <v>275</v>
      </c>
      <c r="AM3" s="186"/>
      <c r="AN3" s="246"/>
      <c r="AO3" s="187" t="s">
        <v>281</v>
      </c>
      <c r="AP3" s="32" t="s">
        <v>282</v>
      </c>
      <c r="AQ3" s="32" t="s">
        <v>283</v>
      </c>
      <c r="AR3" s="32" t="s">
        <v>275</v>
      </c>
      <c r="AS3" s="32" t="s">
        <v>284</v>
      </c>
      <c r="AT3" s="32" t="s">
        <v>285</v>
      </c>
      <c r="AU3" s="32" t="s">
        <v>286</v>
      </c>
      <c r="AV3" s="32" t="s">
        <v>279</v>
      </c>
      <c r="AW3" s="32" t="s">
        <v>287</v>
      </c>
      <c r="AX3" s="32" t="s">
        <v>275</v>
      </c>
      <c r="AY3" s="225" t="s">
        <v>288</v>
      </c>
      <c r="AZ3" s="225" t="s">
        <v>289</v>
      </c>
      <c r="BA3" s="225" t="s">
        <v>290</v>
      </c>
      <c r="BB3" s="225" t="s">
        <v>291</v>
      </c>
      <c r="BC3" s="225" t="s">
        <v>292</v>
      </c>
      <c r="BD3" s="225" t="s">
        <v>293</v>
      </c>
      <c r="BE3" s="225" t="s">
        <v>294</v>
      </c>
      <c r="BF3" s="225" t="s">
        <v>295</v>
      </c>
      <c r="BG3" s="225" t="s">
        <v>296</v>
      </c>
      <c r="BH3" s="225" t="s">
        <v>297</v>
      </c>
      <c r="BI3" s="225" t="s">
        <v>298</v>
      </c>
      <c r="BJ3" s="225" t="s">
        <v>299</v>
      </c>
      <c r="BK3" s="225" t="s">
        <v>300</v>
      </c>
      <c r="BL3" s="225" t="s">
        <v>301</v>
      </c>
      <c r="BM3" s="225" t="s">
        <v>302</v>
      </c>
      <c r="BN3" s="225" t="s">
        <v>292</v>
      </c>
      <c r="BO3" s="32" t="s">
        <v>168</v>
      </c>
      <c r="BP3" s="32" t="s">
        <v>204</v>
      </c>
      <c r="BQ3" s="32" t="s">
        <v>225</v>
      </c>
      <c r="BR3" s="32" t="s">
        <v>245</v>
      </c>
      <c r="BS3" s="32" t="s">
        <v>303</v>
      </c>
      <c r="BT3" s="32" t="s">
        <v>304</v>
      </c>
    </row>
    <row r="4" spans="1:72" x14ac:dyDescent="0.3">
      <c r="A4" s="253">
        <v>1</v>
      </c>
      <c r="B4" s="254" t="s">
        <v>165</v>
      </c>
      <c r="C4" s="254"/>
      <c r="D4" s="255"/>
      <c r="E4" s="268"/>
      <c r="F4" s="188">
        <v>308.5</v>
      </c>
      <c r="G4" s="189">
        <v>27.549999999999997</v>
      </c>
      <c r="H4" s="189">
        <v>7.1999999999999993</v>
      </c>
      <c r="I4" s="189">
        <v>7.1000000000000005</v>
      </c>
      <c r="J4" s="189">
        <v>7.7</v>
      </c>
      <c r="K4" s="189">
        <v>0.35</v>
      </c>
      <c r="L4" s="189">
        <v>0</v>
      </c>
      <c r="M4" s="189">
        <v>15.05</v>
      </c>
      <c r="N4" s="189">
        <v>0.55000000000000004</v>
      </c>
      <c r="O4" s="189">
        <v>55.849999999999994</v>
      </c>
      <c r="P4" s="190">
        <v>67</v>
      </c>
      <c r="Q4" s="190">
        <v>3118.5</v>
      </c>
      <c r="R4" s="189">
        <v>15.15</v>
      </c>
      <c r="S4" s="189">
        <v>4.1500000000000004</v>
      </c>
      <c r="T4" s="189">
        <v>0.24000000000000002</v>
      </c>
      <c r="U4" s="189">
        <v>0.43</v>
      </c>
      <c r="V4" s="189">
        <v>2.15</v>
      </c>
      <c r="W4" s="189">
        <v>4.6500000000000004</v>
      </c>
      <c r="X4" s="190">
        <v>150</v>
      </c>
      <c r="Y4" s="189">
        <v>0.16999999999999998</v>
      </c>
      <c r="Z4" s="189">
        <v>2.4249999999999998</v>
      </c>
      <c r="AA4" s="189">
        <v>12.9</v>
      </c>
      <c r="AB4" s="189">
        <v>1.375</v>
      </c>
      <c r="AC4" s="190">
        <v>213.5</v>
      </c>
      <c r="AD4" s="190">
        <v>180</v>
      </c>
      <c r="AE4" s="190">
        <v>73.75</v>
      </c>
      <c r="AF4" s="190">
        <v>220</v>
      </c>
      <c r="AG4" s="190">
        <v>15.5</v>
      </c>
      <c r="AH4" s="189">
        <v>2.2999999999999998</v>
      </c>
      <c r="AI4" s="191">
        <v>2.35</v>
      </c>
      <c r="AJ4" s="246"/>
      <c r="AK4" s="192">
        <v>1.2428700000000001</v>
      </c>
      <c r="AL4" s="193">
        <v>2.0087130000000002</v>
      </c>
      <c r="AM4" s="186"/>
      <c r="AN4" s="246"/>
      <c r="AO4" s="194">
        <v>247.95</v>
      </c>
      <c r="AP4" s="195">
        <v>1.1109929078014185</v>
      </c>
      <c r="AQ4" s="195">
        <v>0.94078014184397163</v>
      </c>
      <c r="AR4" s="195">
        <v>2.0374293785310735</v>
      </c>
      <c r="AS4" s="195">
        <v>1.0637530072173216</v>
      </c>
      <c r="AT4" s="195">
        <v>60.2</v>
      </c>
      <c r="AU4" s="195">
        <v>0.19505111511925879</v>
      </c>
      <c r="AV4" s="195">
        <v>3.2515830000000001</v>
      </c>
      <c r="AW4" s="226">
        <v>13.006332</v>
      </c>
      <c r="AX4" s="195">
        <v>0.59040249233706854</v>
      </c>
      <c r="AY4" s="226">
        <v>3.8981249999999998</v>
      </c>
      <c r="AZ4" s="226">
        <v>3.0300000000000002</v>
      </c>
      <c r="BA4" s="226">
        <v>0.34583333333333333</v>
      </c>
      <c r="BB4" s="226">
        <v>0.2181818181818182</v>
      </c>
      <c r="BC4" s="226">
        <v>0.30714285714285716</v>
      </c>
      <c r="BD4" s="226">
        <v>0.13437499999999999</v>
      </c>
      <c r="BE4" s="226">
        <v>0.12142857142857144</v>
      </c>
      <c r="BF4" s="226">
        <v>0.97000000000000008</v>
      </c>
      <c r="BG4" s="226">
        <v>6.4500000000000002E-2</v>
      </c>
      <c r="BH4" s="226">
        <v>8.8958333333333334E-2</v>
      </c>
      <c r="BI4" s="226">
        <v>0.09</v>
      </c>
      <c r="BJ4" s="226">
        <v>9.2187499999999992E-2</v>
      </c>
      <c r="BK4" s="226">
        <v>0.31428571428571428</v>
      </c>
      <c r="BL4" s="226">
        <v>4.1333333333333333E-2</v>
      </c>
      <c r="BM4" s="226">
        <v>0.16428571428571426</v>
      </c>
      <c r="BN4" s="226">
        <v>0.23500000000000001</v>
      </c>
      <c r="BO4" s="195">
        <v>448.38065476190479</v>
      </c>
      <c r="BP4" s="195">
        <v>1.1861111111111111</v>
      </c>
      <c r="BQ4" s="195">
        <v>1.0318181818181817</v>
      </c>
      <c r="BR4" s="195">
        <v>0.29973684210526319</v>
      </c>
      <c r="BS4" s="195">
        <v>21.191355809523813</v>
      </c>
      <c r="BT4" s="195">
        <v>6.9108833320820722</v>
      </c>
    </row>
    <row r="5" spans="1:72" x14ac:dyDescent="0.3">
      <c r="A5" s="253"/>
      <c r="B5" s="256" t="s">
        <v>164</v>
      </c>
      <c r="C5" s="256"/>
      <c r="D5" s="257"/>
      <c r="E5" s="268"/>
      <c r="F5" s="196" t="s">
        <v>203</v>
      </c>
      <c r="G5" s="197" t="s">
        <v>204</v>
      </c>
      <c r="H5" s="197" t="s">
        <v>205</v>
      </c>
      <c r="I5" s="197" t="s">
        <v>206</v>
      </c>
      <c r="J5" s="197" t="s">
        <v>207</v>
      </c>
      <c r="K5" s="197" t="s">
        <v>208</v>
      </c>
      <c r="L5" s="197" t="s">
        <v>179</v>
      </c>
      <c r="M5" s="197" t="s">
        <v>209</v>
      </c>
      <c r="N5" s="197" t="s">
        <v>210</v>
      </c>
      <c r="O5" s="197" t="s">
        <v>211</v>
      </c>
      <c r="P5" s="197" t="s">
        <v>212</v>
      </c>
      <c r="Q5" s="197" t="s">
        <v>213</v>
      </c>
      <c r="R5" s="197" t="s">
        <v>214</v>
      </c>
      <c r="S5" s="197" t="s">
        <v>215</v>
      </c>
      <c r="T5" s="197" t="s">
        <v>216</v>
      </c>
      <c r="U5" s="197" t="s">
        <v>201</v>
      </c>
      <c r="V5" s="197" t="s">
        <v>214</v>
      </c>
      <c r="W5" s="197" t="s">
        <v>214</v>
      </c>
      <c r="X5" s="232" t="s">
        <v>217</v>
      </c>
      <c r="Y5" s="197" t="s">
        <v>218</v>
      </c>
      <c r="Z5" s="197" t="s">
        <v>219</v>
      </c>
      <c r="AA5" s="197" t="s">
        <v>220</v>
      </c>
      <c r="AB5" s="197" t="s">
        <v>221</v>
      </c>
      <c r="AC5" s="232" t="s">
        <v>222</v>
      </c>
      <c r="AD5" s="197" t="s">
        <v>179</v>
      </c>
      <c r="AE5" s="197" t="s">
        <v>223</v>
      </c>
      <c r="AF5" s="197" t="s">
        <v>224</v>
      </c>
      <c r="AG5" s="197" t="s">
        <v>225</v>
      </c>
      <c r="AH5" s="197" t="s">
        <v>226</v>
      </c>
      <c r="AI5" s="198" t="s">
        <v>204</v>
      </c>
      <c r="AJ5" s="246"/>
      <c r="AK5" s="199" t="s">
        <v>276</v>
      </c>
      <c r="AL5" s="87" t="s">
        <v>180</v>
      </c>
      <c r="AM5" s="186"/>
      <c r="AN5" s="246"/>
      <c r="AO5" s="200" t="s">
        <v>305</v>
      </c>
      <c r="AP5" s="91" t="s">
        <v>278</v>
      </c>
      <c r="AQ5" s="91" t="s">
        <v>188</v>
      </c>
      <c r="AR5" s="91" t="s">
        <v>211</v>
      </c>
      <c r="AS5" s="91" t="s">
        <v>188</v>
      </c>
      <c r="AT5" s="91" t="s">
        <v>306</v>
      </c>
      <c r="AU5" s="91" t="s">
        <v>218</v>
      </c>
      <c r="AV5" s="91" t="s">
        <v>307</v>
      </c>
      <c r="AW5" s="227" t="s">
        <v>308</v>
      </c>
      <c r="AX5" s="91" t="s">
        <v>216</v>
      </c>
      <c r="AY5" s="227" t="s">
        <v>309</v>
      </c>
      <c r="AZ5" s="227" t="s">
        <v>310</v>
      </c>
      <c r="BA5" s="227" t="s">
        <v>311</v>
      </c>
      <c r="BB5" s="227" t="s">
        <v>312</v>
      </c>
      <c r="BC5" s="227" t="s">
        <v>313</v>
      </c>
      <c r="BD5" s="227" t="s">
        <v>314</v>
      </c>
      <c r="BE5" s="227" t="s">
        <v>315</v>
      </c>
      <c r="BF5" s="227" t="s">
        <v>316</v>
      </c>
      <c r="BG5" s="227" t="s">
        <v>317</v>
      </c>
      <c r="BH5" s="227" t="s">
        <v>318</v>
      </c>
      <c r="BI5" s="227" t="s">
        <v>319</v>
      </c>
      <c r="BJ5" s="227" t="s">
        <v>320</v>
      </c>
      <c r="BK5" s="227" t="s">
        <v>321</v>
      </c>
      <c r="BL5" s="227" t="s">
        <v>322</v>
      </c>
      <c r="BM5" s="227" t="s">
        <v>323</v>
      </c>
      <c r="BN5" s="227" t="s">
        <v>297</v>
      </c>
      <c r="BO5" s="91" t="s">
        <v>169</v>
      </c>
      <c r="BP5" s="91" t="s">
        <v>324</v>
      </c>
      <c r="BQ5" s="91" t="s">
        <v>325</v>
      </c>
      <c r="BR5" s="91" t="s">
        <v>326</v>
      </c>
      <c r="BS5" s="91" t="s">
        <v>327</v>
      </c>
      <c r="BT5" s="91" t="s">
        <v>328</v>
      </c>
    </row>
    <row r="6" spans="1:72" x14ac:dyDescent="0.3">
      <c r="A6" s="258">
        <v>2</v>
      </c>
      <c r="B6" s="260" t="s">
        <v>166</v>
      </c>
      <c r="C6" s="260"/>
      <c r="D6" s="261"/>
      <c r="E6" s="268"/>
      <c r="F6" s="201">
        <v>171.875</v>
      </c>
      <c r="G6" s="202">
        <v>10.399999999999999</v>
      </c>
      <c r="H6" s="202">
        <v>2.65</v>
      </c>
      <c r="I6" s="202">
        <v>3.375</v>
      </c>
      <c r="J6" s="202">
        <v>3.0999999999999996</v>
      </c>
      <c r="K6" s="202">
        <v>0.23749999999999999</v>
      </c>
      <c r="L6" s="202">
        <v>0.17500000000000002</v>
      </c>
      <c r="M6" s="202">
        <v>19.537499999999998</v>
      </c>
      <c r="N6" s="202">
        <v>0.17499999999999999</v>
      </c>
      <c r="O6" s="202">
        <v>68.012500000000003</v>
      </c>
      <c r="P6" s="203">
        <v>35</v>
      </c>
      <c r="Q6" s="203">
        <v>28.125</v>
      </c>
      <c r="R6" s="202">
        <v>9.1374999999999993</v>
      </c>
      <c r="S6" s="202">
        <v>1.13625</v>
      </c>
      <c r="T6" s="202">
        <v>0.10500000000000001</v>
      </c>
      <c r="U6" s="202">
        <v>0.12875</v>
      </c>
      <c r="V6" s="202">
        <v>6.125</v>
      </c>
      <c r="W6" s="202">
        <v>9.85</v>
      </c>
      <c r="X6" s="203">
        <v>219</v>
      </c>
      <c r="Y6" s="202">
        <v>0.51749999999999996</v>
      </c>
      <c r="Z6" s="202">
        <v>7.2625000000000002</v>
      </c>
      <c r="AA6" s="202">
        <v>14.5375</v>
      </c>
      <c r="AB6" s="202">
        <v>1.45</v>
      </c>
      <c r="AC6" s="203">
        <v>65.875</v>
      </c>
      <c r="AD6" s="203">
        <v>370</v>
      </c>
      <c r="AE6" s="203">
        <v>48.875</v>
      </c>
      <c r="AF6" s="203">
        <v>268.75</v>
      </c>
      <c r="AG6" s="203">
        <v>31.625</v>
      </c>
      <c r="AH6" s="202">
        <v>1.125</v>
      </c>
      <c r="AI6" s="204">
        <v>1.575</v>
      </c>
      <c r="AJ6" s="246"/>
      <c r="AK6" s="205">
        <v>0.99449999999999994</v>
      </c>
      <c r="AL6" s="206">
        <v>1.50875</v>
      </c>
      <c r="AM6" s="207"/>
      <c r="AN6" s="246"/>
      <c r="AO6" s="208">
        <v>93.6</v>
      </c>
      <c r="AP6" s="209">
        <v>1.0285717389792797</v>
      </c>
      <c r="AQ6" s="209">
        <v>0.96907727146306621</v>
      </c>
      <c r="AR6" s="209">
        <v>0.90876576037760248</v>
      </c>
      <c r="AS6" s="209">
        <v>1.1502974620413253</v>
      </c>
      <c r="AT6" s="209">
        <v>78.149999999999991</v>
      </c>
      <c r="AU6" s="209">
        <v>0.50877884464045153</v>
      </c>
      <c r="AV6" s="209">
        <v>2.5032500000000004</v>
      </c>
      <c r="AW6" s="228">
        <v>10.013000000000002</v>
      </c>
      <c r="AX6" s="209">
        <v>0.59204460005306336</v>
      </c>
      <c r="AY6" s="228">
        <v>3.515625E-2</v>
      </c>
      <c r="AZ6" s="228">
        <v>1.8275000000000001</v>
      </c>
      <c r="BA6" s="228">
        <v>9.4687499999999994E-2</v>
      </c>
      <c r="BB6" s="228">
        <v>9.5454545454545431E-2</v>
      </c>
      <c r="BC6" s="228">
        <v>9.1964285714285721E-2</v>
      </c>
      <c r="BD6" s="228">
        <v>0.3828125</v>
      </c>
      <c r="BE6" s="228">
        <v>0.36964285714285716</v>
      </c>
      <c r="BF6" s="228">
        <v>2.9050000000000002</v>
      </c>
      <c r="BG6" s="228">
        <v>7.2687500000000016E-2</v>
      </c>
      <c r="BH6" s="228">
        <v>2.7447916666666673E-2</v>
      </c>
      <c r="BI6" s="228">
        <v>0.185</v>
      </c>
      <c r="BJ6" s="228">
        <v>6.1093750000000002E-2</v>
      </c>
      <c r="BK6" s="228">
        <v>0.38392857142857134</v>
      </c>
      <c r="BL6" s="228">
        <v>8.4333333333333343E-2</v>
      </c>
      <c r="BM6" s="228">
        <v>8.0357142857142849E-2</v>
      </c>
      <c r="BN6" s="228">
        <v>0.1575</v>
      </c>
      <c r="BO6" s="209">
        <v>77.143005952380946</v>
      </c>
      <c r="BP6" s="209">
        <v>0.17648930180180183</v>
      </c>
      <c r="BQ6" s="209">
        <v>0.828587962962963</v>
      </c>
      <c r="BR6" s="209">
        <v>0.17694765285491093</v>
      </c>
      <c r="BS6" s="209">
        <v>15.472839285714286</v>
      </c>
      <c r="BT6" s="209">
        <v>9.1563629622827083</v>
      </c>
    </row>
    <row r="7" spans="1:72" ht="15" thickBot="1" x14ac:dyDescent="0.35">
      <c r="A7" s="259"/>
      <c r="B7" s="262" t="s">
        <v>164</v>
      </c>
      <c r="C7" s="262"/>
      <c r="D7" s="263"/>
      <c r="E7" s="268"/>
      <c r="F7" s="210" t="s">
        <v>227</v>
      </c>
      <c r="G7" s="211" t="s">
        <v>228</v>
      </c>
      <c r="H7" s="211" t="s">
        <v>229</v>
      </c>
      <c r="I7" s="211" t="s">
        <v>230</v>
      </c>
      <c r="J7" s="211" t="s">
        <v>231</v>
      </c>
      <c r="K7" s="211" t="s">
        <v>232</v>
      </c>
      <c r="L7" s="211" t="s">
        <v>195</v>
      </c>
      <c r="M7" s="211" t="s">
        <v>233</v>
      </c>
      <c r="N7" s="211" t="s">
        <v>216</v>
      </c>
      <c r="O7" s="211" t="s">
        <v>234</v>
      </c>
      <c r="P7" s="211" t="s">
        <v>235</v>
      </c>
      <c r="Q7" s="211" t="s">
        <v>236</v>
      </c>
      <c r="R7" s="211" t="s">
        <v>237</v>
      </c>
      <c r="S7" s="211" t="s">
        <v>238</v>
      </c>
      <c r="T7" s="211" t="s">
        <v>187</v>
      </c>
      <c r="U7" s="211" t="s">
        <v>187</v>
      </c>
      <c r="V7" s="211" t="s">
        <v>239</v>
      </c>
      <c r="W7" s="211" t="s">
        <v>240</v>
      </c>
      <c r="X7" s="233" t="s">
        <v>241</v>
      </c>
      <c r="Y7" s="211" t="s">
        <v>242</v>
      </c>
      <c r="Z7" s="211" t="s">
        <v>243</v>
      </c>
      <c r="AA7" s="211" t="s">
        <v>244</v>
      </c>
      <c r="AB7" s="211" t="s">
        <v>245</v>
      </c>
      <c r="AC7" s="233" t="s">
        <v>183</v>
      </c>
      <c r="AD7" s="211" t="s">
        <v>246</v>
      </c>
      <c r="AE7" s="211" t="s">
        <v>247</v>
      </c>
      <c r="AF7" s="211" t="s">
        <v>248</v>
      </c>
      <c r="AG7" s="211" t="s">
        <v>249</v>
      </c>
      <c r="AH7" s="211" t="s">
        <v>250</v>
      </c>
      <c r="AI7" s="212" t="s">
        <v>251</v>
      </c>
      <c r="AJ7" s="246"/>
      <c r="AK7" s="213" t="s">
        <v>277</v>
      </c>
      <c r="AL7" s="214" t="s">
        <v>278</v>
      </c>
      <c r="AM7" s="207"/>
      <c r="AN7" s="246"/>
      <c r="AO7" s="215" t="s">
        <v>329</v>
      </c>
      <c r="AP7" s="216" t="s">
        <v>330</v>
      </c>
      <c r="AQ7" s="216" t="s">
        <v>175</v>
      </c>
      <c r="AR7" s="216" t="s">
        <v>331</v>
      </c>
      <c r="AS7" s="216" t="s">
        <v>326</v>
      </c>
      <c r="AT7" s="216" t="s">
        <v>332</v>
      </c>
      <c r="AU7" s="216" t="s">
        <v>221</v>
      </c>
      <c r="AV7" s="216" t="s">
        <v>333</v>
      </c>
      <c r="AW7" s="229" t="s">
        <v>334</v>
      </c>
      <c r="AX7" s="216" t="s">
        <v>221</v>
      </c>
      <c r="AY7" s="229" t="s">
        <v>335</v>
      </c>
      <c r="AZ7" s="229" t="s">
        <v>336</v>
      </c>
      <c r="BA7" s="229" t="s">
        <v>337</v>
      </c>
      <c r="BB7" s="229" t="s">
        <v>338</v>
      </c>
      <c r="BC7" s="229" t="s">
        <v>339</v>
      </c>
      <c r="BD7" s="229" t="s">
        <v>340</v>
      </c>
      <c r="BE7" s="229" t="s">
        <v>341</v>
      </c>
      <c r="BF7" s="229" t="s">
        <v>342</v>
      </c>
      <c r="BG7" s="229" t="s">
        <v>343</v>
      </c>
      <c r="BH7" s="229" t="s">
        <v>344</v>
      </c>
      <c r="BI7" s="229" t="s">
        <v>345</v>
      </c>
      <c r="BJ7" s="229" t="s">
        <v>346</v>
      </c>
      <c r="BK7" s="229" t="s">
        <v>347</v>
      </c>
      <c r="BL7" s="229" t="s">
        <v>348</v>
      </c>
      <c r="BM7" s="229" t="s">
        <v>349</v>
      </c>
      <c r="BN7" s="229" t="s">
        <v>350</v>
      </c>
      <c r="BO7" s="216" t="s">
        <v>170</v>
      </c>
      <c r="BP7" s="216" t="s">
        <v>188</v>
      </c>
      <c r="BQ7" s="216" t="s">
        <v>351</v>
      </c>
      <c r="BR7" s="216" t="s">
        <v>178</v>
      </c>
      <c r="BS7" s="216" t="s">
        <v>352</v>
      </c>
      <c r="BT7" s="216" t="s">
        <v>353</v>
      </c>
    </row>
    <row r="8" spans="1:72" x14ac:dyDescent="0.3">
      <c r="A8" s="264" t="s">
        <v>167</v>
      </c>
      <c r="B8" s="264"/>
      <c r="C8" s="264"/>
      <c r="D8" s="265"/>
      <c r="E8" s="268"/>
      <c r="F8" s="217">
        <v>122.28468992248062</v>
      </c>
      <c r="G8" s="218">
        <v>5.3893023255813963</v>
      </c>
      <c r="H8" s="218">
        <v>1.3333333333333335</v>
      </c>
      <c r="I8" s="218">
        <v>1.6751550387596896</v>
      </c>
      <c r="J8" s="218">
        <v>1.4551937984496126</v>
      </c>
      <c r="K8" s="218">
        <v>0.10422674418604654</v>
      </c>
      <c r="L8" s="218">
        <v>3.6627906976744187E-2</v>
      </c>
      <c r="M8" s="218">
        <v>18.416375968992245</v>
      </c>
      <c r="N8" s="218">
        <v>0.25282945736434098</v>
      </c>
      <c r="O8" s="218">
        <v>74.340213178294576</v>
      </c>
      <c r="P8" s="234">
        <v>40.404651162790699</v>
      </c>
      <c r="Q8" s="234">
        <v>237.73081395348837</v>
      </c>
      <c r="R8" s="218">
        <v>8.1025000000000009</v>
      </c>
      <c r="S8" s="218">
        <v>1.116114341085271</v>
      </c>
      <c r="T8" s="218">
        <v>9.1348837209302314E-2</v>
      </c>
      <c r="U8" s="218">
        <v>9.179263565891474E-2</v>
      </c>
      <c r="V8" s="218">
        <v>2.9793333333333334</v>
      </c>
      <c r="W8" s="218">
        <v>6.398984496124033</v>
      </c>
      <c r="X8" s="234">
        <v>204.09302325581396</v>
      </c>
      <c r="Y8" s="218">
        <v>0.28142248062015507</v>
      </c>
      <c r="Z8" s="218">
        <v>2.6476007751937987</v>
      </c>
      <c r="AA8" s="218">
        <v>12.524205426356589</v>
      </c>
      <c r="AB8" s="218">
        <v>1.3133178294573642</v>
      </c>
      <c r="AC8" s="234">
        <v>96.979263565891472</v>
      </c>
      <c r="AD8" s="234">
        <v>341.60465116279067</v>
      </c>
      <c r="AE8" s="234">
        <v>35.561046511627907</v>
      </c>
      <c r="AF8" s="234">
        <v>220.59108527131781</v>
      </c>
      <c r="AG8" s="234">
        <v>29.184302325581395</v>
      </c>
      <c r="AH8" s="218">
        <v>0.66507751937984505</v>
      </c>
      <c r="AI8" s="219">
        <v>0.9501937984496126</v>
      </c>
      <c r="AJ8" s="246"/>
      <c r="AK8" s="218">
        <v>0.43205604651162788</v>
      </c>
      <c r="AL8" s="218">
        <v>0.71471757364341104</v>
      </c>
      <c r="AM8" s="220"/>
      <c r="AN8" s="246"/>
      <c r="AO8" s="218">
        <v>48.503720930232554</v>
      </c>
      <c r="AP8" s="218">
        <v>1.4254836971486602</v>
      </c>
      <c r="AQ8" s="218">
        <v>0.83846810375097913</v>
      </c>
      <c r="AR8" s="218">
        <v>0.75131039418186918</v>
      </c>
      <c r="AS8" s="218">
        <v>1.0375647764272813</v>
      </c>
      <c r="AT8" s="218">
        <v>73.66550387596898</v>
      </c>
      <c r="AU8" s="218">
        <v>0.72690266519657398</v>
      </c>
      <c r="AV8" s="218">
        <v>1.1467736201550383</v>
      </c>
      <c r="AW8" s="236">
        <v>4.587094480620153</v>
      </c>
      <c r="AX8" s="218">
        <v>0.56040760255776312</v>
      </c>
      <c r="AY8" s="236">
        <v>0.29716351744186048</v>
      </c>
      <c r="AZ8" s="236">
        <v>1.6205000000000001</v>
      </c>
      <c r="BA8" s="236">
        <v>9.3009528423772622E-2</v>
      </c>
      <c r="BB8" s="236">
        <v>8.3044397463002101E-2</v>
      </c>
      <c r="BC8" s="236">
        <v>6.5566168327796229E-2</v>
      </c>
      <c r="BD8" s="236">
        <v>0.18620833333333334</v>
      </c>
      <c r="BE8" s="236">
        <v>0.201016057585825</v>
      </c>
      <c r="BF8" s="236">
        <v>1.0590403100775196</v>
      </c>
      <c r="BG8" s="236">
        <v>6.2621027131782955E-2</v>
      </c>
      <c r="BH8" s="236">
        <v>4.0408026485788118E-2</v>
      </c>
      <c r="BI8" s="236">
        <v>0.17080232558139533</v>
      </c>
      <c r="BJ8" s="236">
        <v>4.4451308139534879E-2</v>
      </c>
      <c r="BK8" s="236">
        <v>0.31513012181616845</v>
      </c>
      <c r="BL8" s="236">
        <v>7.7824806201550398E-2</v>
      </c>
      <c r="BM8" s="236">
        <v>4.7505537098560355E-2</v>
      </c>
      <c r="BN8" s="236">
        <v>9.5019379844961269E-2</v>
      </c>
      <c r="BO8" s="218">
        <v>99.200984911406437</v>
      </c>
      <c r="BP8" s="218">
        <v>0.32937654544731204</v>
      </c>
      <c r="BQ8" s="218">
        <v>0.72048457302817759</v>
      </c>
      <c r="BR8" s="218">
        <v>0.15547994025590051</v>
      </c>
      <c r="BS8" s="218">
        <v>7.9797757190845324</v>
      </c>
      <c r="BT8" s="218">
        <v>5.876193294785744</v>
      </c>
    </row>
    <row r="9" spans="1:72" x14ac:dyDescent="0.3">
      <c r="A9" s="266"/>
      <c r="B9" s="266"/>
      <c r="C9" s="266"/>
      <c r="D9" s="267"/>
      <c r="E9" s="268"/>
      <c r="F9" s="217" t="s">
        <v>252</v>
      </c>
      <c r="G9" s="217" t="s">
        <v>253</v>
      </c>
      <c r="H9" s="217" t="s">
        <v>254</v>
      </c>
      <c r="I9" s="217" t="s">
        <v>255</v>
      </c>
      <c r="J9" s="217" t="s">
        <v>256</v>
      </c>
      <c r="K9" s="217" t="s">
        <v>201</v>
      </c>
      <c r="L9" s="217" t="s">
        <v>257</v>
      </c>
      <c r="M9" s="217" t="s">
        <v>231</v>
      </c>
      <c r="N9" s="217" t="s">
        <v>192</v>
      </c>
      <c r="O9" s="217" t="s">
        <v>258</v>
      </c>
      <c r="P9" s="217" t="s">
        <v>259</v>
      </c>
      <c r="Q9" s="217" t="s">
        <v>260</v>
      </c>
      <c r="R9" s="217" t="s">
        <v>261</v>
      </c>
      <c r="S9" s="217" t="s">
        <v>238</v>
      </c>
      <c r="T9" s="217" t="s">
        <v>262</v>
      </c>
      <c r="U9" s="217" t="s">
        <v>181</v>
      </c>
      <c r="V9" s="217" t="s">
        <v>263</v>
      </c>
      <c r="W9" s="217" t="s">
        <v>264</v>
      </c>
      <c r="X9" s="217" t="s">
        <v>265</v>
      </c>
      <c r="Y9" s="217" t="s">
        <v>195</v>
      </c>
      <c r="Z9" s="217" t="s">
        <v>266</v>
      </c>
      <c r="AA9" s="217" t="s">
        <v>267</v>
      </c>
      <c r="AB9" s="217" t="s">
        <v>242</v>
      </c>
      <c r="AC9" s="217" t="s">
        <v>268</v>
      </c>
      <c r="AD9" s="217" t="s">
        <v>269</v>
      </c>
      <c r="AE9" s="217" t="s">
        <v>270</v>
      </c>
      <c r="AF9" s="217" t="s">
        <v>271</v>
      </c>
      <c r="AG9" s="217" t="s">
        <v>272</v>
      </c>
      <c r="AH9" s="217" t="s">
        <v>273</v>
      </c>
      <c r="AI9" s="221" t="s">
        <v>274</v>
      </c>
      <c r="AJ9" s="246"/>
      <c r="AK9" s="217" t="s">
        <v>279</v>
      </c>
      <c r="AL9" s="217" t="s">
        <v>280</v>
      </c>
      <c r="AM9" s="220"/>
      <c r="AN9" s="246"/>
      <c r="AO9" s="217" t="s">
        <v>354</v>
      </c>
      <c r="AP9" s="217" t="s">
        <v>355</v>
      </c>
      <c r="AQ9" s="217" t="s">
        <v>356</v>
      </c>
      <c r="AR9" s="217" t="s">
        <v>357</v>
      </c>
      <c r="AS9" s="217" t="s">
        <v>358</v>
      </c>
      <c r="AT9" s="217" t="s">
        <v>359</v>
      </c>
      <c r="AU9" s="217" t="s">
        <v>232</v>
      </c>
      <c r="AV9" s="217" t="s">
        <v>360</v>
      </c>
      <c r="AW9" s="217" t="s">
        <v>361</v>
      </c>
      <c r="AX9" s="217" t="s">
        <v>210</v>
      </c>
      <c r="AY9" s="236" t="s">
        <v>362</v>
      </c>
      <c r="AZ9" s="236" t="s">
        <v>363</v>
      </c>
      <c r="BA9" s="236" t="s">
        <v>337</v>
      </c>
      <c r="BB9" s="236" t="s">
        <v>364</v>
      </c>
      <c r="BC9" s="236" t="s">
        <v>365</v>
      </c>
      <c r="BD9" s="236" t="s">
        <v>366</v>
      </c>
      <c r="BE9" s="236" t="s">
        <v>367</v>
      </c>
      <c r="BF9" s="236" t="s">
        <v>368</v>
      </c>
      <c r="BG9" s="236" t="s">
        <v>369</v>
      </c>
      <c r="BH9" s="236" t="s">
        <v>370</v>
      </c>
      <c r="BI9" s="236" t="s">
        <v>371</v>
      </c>
      <c r="BJ9" s="236" t="s">
        <v>372</v>
      </c>
      <c r="BK9" s="236" t="s">
        <v>373</v>
      </c>
      <c r="BL9" s="236" t="s">
        <v>374</v>
      </c>
      <c r="BM9" s="236" t="s">
        <v>375</v>
      </c>
      <c r="BN9" s="236" t="s">
        <v>376</v>
      </c>
      <c r="BO9" s="217" t="s">
        <v>377</v>
      </c>
      <c r="BP9" s="217" t="s">
        <v>378</v>
      </c>
      <c r="BQ9" s="217" t="s">
        <v>379</v>
      </c>
      <c r="BR9" s="217" t="s">
        <v>192</v>
      </c>
      <c r="BS9" s="217" t="s">
        <v>380</v>
      </c>
      <c r="BT9" s="217" t="s">
        <v>381</v>
      </c>
    </row>
    <row r="12" spans="1:72" x14ac:dyDescent="0.3">
      <c r="BS12" s="230"/>
      <c r="BT12" s="230"/>
    </row>
  </sheetData>
  <mergeCells count="13">
    <mergeCell ref="AN1:AN9"/>
    <mergeCell ref="A2:A3"/>
    <mergeCell ref="B2:D2"/>
    <mergeCell ref="B3:D3"/>
    <mergeCell ref="A4:A5"/>
    <mergeCell ref="B4:D4"/>
    <mergeCell ref="B5:D5"/>
    <mergeCell ref="A6:A7"/>
    <mergeCell ref="B6:D6"/>
    <mergeCell ref="B7:D7"/>
    <mergeCell ref="A8:D9"/>
    <mergeCell ref="E1:E9"/>
    <mergeCell ref="AJ1:AJ9"/>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16df75a-c66b-43d6-b36f-be9c77915d5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FF4B172000EC64291A1469F656680E6" ma:contentTypeVersion="11" ma:contentTypeDescription="Create a new document." ma:contentTypeScope="" ma:versionID="c1d0be18a62d326e1bd48ce8b5ebfbdb">
  <xsd:schema xmlns:xsd="http://www.w3.org/2001/XMLSchema" xmlns:xs="http://www.w3.org/2001/XMLSchema" xmlns:p="http://schemas.microsoft.com/office/2006/metadata/properties" xmlns:ns2="716df75a-c66b-43d6-b36f-be9c77915d57" targetNamespace="http://schemas.microsoft.com/office/2006/metadata/properties" ma:root="true" ma:fieldsID="bf016b2a929b0f8036dfe8b2c477beed" ns2:_="">
    <xsd:import namespace="716df75a-c66b-43d6-b36f-be9c77915d5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6df75a-c66b-43d6-b36f-be9c77915d5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842ecb2-9fd7-4b7d-9140-4ee1ebb34b34"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A3FFED7-B7DA-4805-8892-ED4B32D08028}">
  <ds:schemaRefs>
    <ds:schemaRef ds:uri="http://schemas.microsoft.com/sharepoint/v3/contenttype/forms"/>
  </ds:schemaRefs>
</ds:datastoreItem>
</file>

<file path=customXml/itemProps2.xml><?xml version="1.0" encoding="utf-8"?>
<ds:datastoreItem xmlns:ds="http://schemas.openxmlformats.org/officeDocument/2006/customXml" ds:itemID="{9D1EFC3C-10C3-47D6-B16E-A047F4D934B8}">
  <ds:schemaRefs>
    <ds:schemaRef ds:uri="http://schemas.microsoft.com/office/2006/metadata/properties"/>
    <ds:schemaRef ds:uri="http://schemas.microsoft.com/office/infopath/2007/PartnerControls"/>
    <ds:schemaRef ds:uri="716df75a-c66b-43d6-b36f-be9c77915d57"/>
  </ds:schemaRefs>
</ds:datastoreItem>
</file>

<file path=customXml/itemProps3.xml><?xml version="1.0" encoding="utf-8"?>
<ds:datastoreItem xmlns:ds="http://schemas.openxmlformats.org/officeDocument/2006/customXml" ds:itemID="{7C87B57B-E7BE-4759-8427-F14053054F4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MASTER_SHEET</vt:lpstr>
      <vt:lpstr>RAW_DATA</vt:lpstr>
      <vt:lpstr>CLUSTER_SUMMARY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Olívia Serra Jorge</dc:creator>
  <cp:lastModifiedBy>Ana Olívia Serra Jorge</cp:lastModifiedBy>
  <dcterms:created xsi:type="dcterms:W3CDTF">2025-10-07T17:46:50Z</dcterms:created>
  <dcterms:modified xsi:type="dcterms:W3CDTF">2025-10-29T17:03:33Z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0x010100EFF4B172000EC64291A1469F656680E6</vt:lpwstr>
  </property>
  <property fmtid="{D5CDD505-2E9C-101B-9397-08002B2CF9AE}" pid="3" name="MediaServiceImageTags">
    <vt:lpwstr/>
  </property>
</Properties>
</file>